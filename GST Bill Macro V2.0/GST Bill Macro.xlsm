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mit\Projects\Excel Bill\GST Bill Macro V2.0\"/>
    </mc:Choice>
  </mc:AlternateContent>
  <xr:revisionPtr revIDLastSave="0" documentId="13_ncr:1_{2702D985-1604-44B1-BA98-03058DB3FA8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6" r:id="rId2"/>
    <sheet name="Sheet3" sheetId="4" r:id="rId3"/>
  </sheets>
  <functionGroups builtInGroupCount="19"/>
  <definedNames>
    <definedName name="HSN_Code">Table2[HSN. CODE]</definedName>
    <definedName name="Party_Add">Table1[Add]</definedName>
    <definedName name="Party_GSTNO">Table1[GST No.]</definedName>
    <definedName name="Party_Name">Table1[Party Name]</definedName>
    <definedName name="_xlnm.Print_Area" localSheetId="0">Sheet1!$A$3:$J$47</definedName>
    <definedName name="Product_List">Table2[Product list]</definedName>
  </definedNames>
  <calcPr calcId="191029" iterate="1"/>
  <extLst>
    <ext uri="GoogleSheetsCustomDataVersion1">
      <go:sheetsCustomData xmlns:go="http://customooxmlschemas.google.com/" r:id="rId5" roundtripDataSignature="AMtx7minINrcNop3cmbFZFQWRSTY7nhuXw=="/>
    </ext>
  </extLst>
</workbook>
</file>

<file path=xl/calcChain.xml><?xml version="1.0" encoding="utf-8"?>
<calcChain xmlns="http://schemas.openxmlformats.org/spreadsheetml/2006/main">
  <c r="C14" i="1" l="1"/>
  <c r="B12" i="1"/>
  <c r="G34" i="1"/>
  <c r="I16" i="1"/>
  <c r="I17" i="1"/>
  <c r="I19" i="1"/>
  <c r="I18" i="1"/>
  <c r="I20" i="1"/>
  <c r="I21" i="1"/>
  <c r="I22" i="1"/>
  <c r="I23" i="1"/>
  <c r="I24" i="1"/>
  <c r="I26" i="1"/>
  <c r="I27" i="1"/>
  <c r="I28" i="1"/>
  <c r="I29" i="1"/>
  <c r="I30" i="1"/>
  <c r="F16" i="1"/>
  <c r="F23" i="1" l="1"/>
  <c r="F26" i="1"/>
  <c r="F25" i="1"/>
  <c r="F24" i="1"/>
  <c r="F22" i="1"/>
  <c r="F30" i="1"/>
  <c r="F29" i="1"/>
  <c r="F28" i="1"/>
  <c r="F27" i="1"/>
  <c r="F21" i="1"/>
  <c r="F20" i="1"/>
  <c r="F19" i="1"/>
  <c r="F18" i="1"/>
  <c r="F17" i="1"/>
  <c r="I34" i="1" l="1"/>
  <c r="I37" i="1"/>
  <c r="I35" i="1" l="1"/>
  <c r="I36" i="1"/>
  <c r="I38" i="1" l="1"/>
  <c r="I39" i="1" s="1"/>
  <c r="A36" i="1"/>
</calcChain>
</file>

<file path=xl/sharedStrings.xml><?xml version="1.0" encoding="utf-8"?>
<sst xmlns="http://schemas.openxmlformats.org/spreadsheetml/2006/main" count="407" uniqueCount="392">
  <si>
    <t>PARTH ROLLING SUTTERS AND FEBRICATION</t>
  </si>
  <si>
    <t>TAX INVOICE</t>
  </si>
  <si>
    <t xml:space="preserve">M/s </t>
  </si>
  <si>
    <t>Bill NO :</t>
  </si>
  <si>
    <t>Add :</t>
  </si>
  <si>
    <t>CH NO :</t>
  </si>
  <si>
    <t xml:space="preserve">Date : </t>
  </si>
  <si>
    <t>SR. NO.</t>
  </si>
  <si>
    <t>PRODUCT</t>
  </si>
  <si>
    <t>HSN.</t>
  </si>
  <si>
    <t>QTY/KJ</t>
  </si>
  <si>
    <t>RATE</t>
  </si>
  <si>
    <t>AMOUNT</t>
  </si>
  <si>
    <t>Grand Total In Words :</t>
  </si>
  <si>
    <t>Total</t>
  </si>
  <si>
    <t>Round Off</t>
  </si>
  <si>
    <t>G.Total</t>
  </si>
  <si>
    <t>• Subject to Ahmedabad Jurisdiction.</t>
  </si>
  <si>
    <t>• E. &amp; O.E.</t>
  </si>
  <si>
    <t>Authorized Signature</t>
  </si>
  <si>
    <t>State</t>
  </si>
  <si>
    <t>CGST(9%)</t>
  </si>
  <si>
    <t>SGST(9%)</t>
  </si>
  <si>
    <t>IGST(18%)</t>
  </si>
  <si>
    <t>Total Weight :</t>
  </si>
  <si>
    <t>Terms &amp; Condition :</t>
  </si>
  <si>
    <t>Party Name</t>
  </si>
  <si>
    <t>Add</t>
  </si>
  <si>
    <t>GST No.</t>
  </si>
  <si>
    <t>24ABIFM8310Q1ZU</t>
  </si>
  <si>
    <t>24AAZFR6327A1Z2</t>
  </si>
  <si>
    <t>24ABIFA5262D1ZS</t>
  </si>
  <si>
    <t>24AAECC1973H1ZS</t>
  </si>
  <si>
    <t>24AAHFE8931D1ZL</t>
  </si>
  <si>
    <t>24AAJFH7697B1Z7</t>
  </si>
  <si>
    <t>Jay Industries</t>
  </si>
  <si>
    <t>24BIPPP5988L1Z7</t>
  </si>
  <si>
    <t>24AAGFL5413N1Z7</t>
  </si>
  <si>
    <t>24AJOPP1928P1ZJ</t>
  </si>
  <si>
    <t>24ABGFM8940C1ZD</t>
  </si>
  <si>
    <t>24AAECK5600K1ZP</t>
  </si>
  <si>
    <t>24ABHFM3322M1Z9</t>
  </si>
  <si>
    <t>24AMKPP5756E1ZU</t>
  </si>
  <si>
    <t>24ANRPD4725F1Z4</t>
  </si>
  <si>
    <t>24AAZFR2070C1Z6</t>
  </si>
  <si>
    <t>24AAMFR6127P1ZM</t>
  </si>
  <si>
    <t>24AAYFR3583R1Z0</t>
  </si>
  <si>
    <t>24ADVPD9609A1ZM</t>
  </si>
  <si>
    <t>24AMCPM5722H1Z9</t>
  </si>
  <si>
    <t>24ADGFS5904E1Z9</t>
  </si>
  <si>
    <t>24ADTFS1144H1ZY</t>
  </si>
  <si>
    <t>24ADMFS4408H1Z0</t>
  </si>
  <si>
    <t>24ACZFS7865G1Z8</t>
  </si>
  <si>
    <t>24ADEFS4222R1ZR</t>
  </si>
  <si>
    <t>Bank Details :</t>
  </si>
  <si>
    <t>Sale Type :</t>
  </si>
  <si>
    <t>Product list</t>
  </si>
  <si>
    <t>MS PIPE</t>
  </si>
  <si>
    <t>MS CHANEL</t>
  </si>
  <si>
    <t>MS ANGLE</t>
  </si>
  <si>
    <t>MS BAR</t>
  </si>
  <si>
    <t>MS FLAT</t>
  </si>
  <si>
    <t>MS SHEET</t>
  </si>
  <si>
    <t>HSN. CODE</t>
  </si>
  <si>
    <t>SHUTTER PATTI GP</t>
  </si>
  <si>
    <t>SHUTTER PATTI HR BOTTOM</t>
  </si>
  <si>
    <t>SHUTTER PATTI HR BRACKET</t>
  </si>
  <si>
    <t>SHUTTER SPRING</t>
  </si>
  <si>
    <t>CC COIL/SHEET</t>
  </si>
  <si>
    <t>A M FLEXIPACK PVT LTD</t>
  </si>
  <si>
    <t>B/H BHAVDA BUS STOP,INDORE HIGHWAY,TAL DASKROI</t>
  </si>
  <si>
    <t>24AAUCA0117D1Z4</t>
  </si>
  <si>
    <t>SHREE AMBICA INDUSTRIES</t>
  </si>
  <si>
    <t>24AIHPP1911E1ZO</t>
  </si>
  <si>
    <t>AASHIRWAD CITY-2</t>
  </si>
  <si>
    <t>ODHAV AHMEDABAD</t>
  </si>
  <si>
    <t>RAJVI ENTERPRISE</t>
  </si>
  <si>
    <t>AASHIRWAD SKY VASANA AHMEDABAD</t>
  </si>
  <si>
    <t>MATRUBHUMI BUILDSPACE LLP</t>
  </si>
  <si>
    <t>ANANTA NEAR EULOGLA LNN HOTEL JAGATPHR GOTA AHMEDABAD</t>
  </si>
  <si>
    <t>24ABFFM3256N1Z0</t>
  </si>
  <si>
    <t>ANAY INFRA</t>
  </si>
  <si>
    <t>PARAS RESIDENCY NANA CHILODA AHMEDABAD</t>
  </si>
  <si>
    <t>24ABTFA5696A1Z9</t>
  </si>
  <si>
    <t>16 KARM ESTATE KATHWADA</t>
  </si>
  <si>
    <t>16 KARM ESTATE KATHWADA AHMEDABAD</t>
  </si>
  <si>
    <t>24AMEPP9000B1ZL</t>
  </si>
  <si>
    <t>ARTH CORPORATION</t>
  </si>
  <si>
    <t>RIDHAM PLAZA NANA CHILODA AHMEDABAD</t>
  </si>
  <si>
    <t>24ABHFA9092J1Z4</t>
  </si>
  <si>
    <t xml:space="preserve">AVADH CORPORATION </t>
  </si>
  <si>
    <t>KOTHIYA KUHA DASCROI AHMEDABAD</t>
  </si>
  <si>
    <t>AVDHOOT FABRICATION WORKS</t>
  </si>
  <si>
    <t>5 , SWAMINARYAM INDUSTRIAL KATHWADA AHMEDABAD</t>
  </si>
  <si>
    <t>24ATRPP8225A1ZN</t>
  </si>
  <si>
    <t>CHAMUNDA PLASTIC PRIVATE LIMITED</t>
  </si>
  <si>
    <t>1051 NR KOTHIYA PATIYA KUHA GAM ROAD Ahmedabad</t>
  </si>
  <si>
    <t>CORUS INFRASTRUCTURE</t>
  </si>
  <si>
    <t>CORUS HEIGHTS GOTA</t>
  </si>
  <si>
    <t xml:space="preserve"> ELANZA INFRA</t>
  </si>
  <si>
    <t>SLOK ELANZA GOTA-AHMEDABAD</t>
  </si>
  <si>
    <t>FLUID VALVE MANUEACTURING COMPANY</t>
  </si>
  <si>
    <t>GAYATRI FABRICATION AND ROLLING SHATERS</t>
  </si>
  <si>
    <t>A/42, PRENA BUNGLOWS,B/H,PARSHWNATH TOWNSHIP,NARODA AHMEDABAD</t>
  </si>
  <si>
    <t>2424BIEPP4892E1Z4</t>
  </si>
  <si>
    <t>26, RATNAM ESTATE KATHWADA AHMEDABAD</t>
  </si>
  <si>
    <t>24ERYPP8468L1ZG</t>
  </si>
  <si>
    <t>SIKU INDUSTRIES</t>
  </si>
  <si>
    <t>19,SMALL SEALE INDUSTEIAL ESTATE RAKHIYAL AHMEDABAD</t>
  </si>
  <si>
    <t>24CUJPP3132M1ZE</t>
  </si>
  <si>
    <t>HET CORPORATION</t>
  </si>
  <si>
    <t>SHIVALIKA NANA CHILODA AHMEDABAD</t>
  </si>
  <si>
    <t>32,SHYAM IND ESTATE,B/H ZAVERI ESTATE SIGARVA -KATHWADA, AHMEDABAD</t>
  </si>
  <si>
    <t>DEEP DEVLOPERS</t>
  </si>
  <si>
    <t>PARASMANI INDUSTRIES</t>
  </si>
  <si>
    <t>134 SHARAM ESTATE KATHWAD AHMEDABAD</t>
  </si>
  <si>
    <t>24CSGPP9695A1ZE</t>
  </si>
  <si>
    <t>SAHELEE INDUSTRIES</t>
  </si>
  <si>
    <t>110,SHYAM IND ESTATE,KATHWADA AHMEDABAD</t>
  </si>
  <si>
    <t>204, SOHAM ENCLAVE ,OPP, CHANAKYA VIDHYALAYA NIKOL AHMEDABAD</t>
  </si>
  <si>
    <t>24AAQFD4247G1ZE</t>
  </si>
  <si>
    <t>KALASH INFRA</t>
  </si>
  <si>
    <t>24AAUFK3711G1ZC</t>
  </si>
  <si>
    <t>KALASH PARISAR AND PLAZA MUTHIA GIDC NARODA AHMEDABAD</t>
  </si>
  <si>
    <t>LABH DEVLOPERS</t>
  </si>
  <si>
    <t>MEGHA HEIGHTS NANA CHILODA AHMEDABAD</t>
  </si>
  <si>
    <t>LIFT AND LASH PVT LTD</t>
  </si>
  <si>
    <t>67-68 ,2 FLOOR 4D SQUARE MALL,OPP-GOVT,ENGG,COLLEGE,MOTERA AHMEDABAD</t>
  </si>
  <si>
    <t>24AACCL6441R1Z3</t>
  </si>
  <si>
    <t>HATVI ENTERPRISE</t>
  </si>
  <si>
    <t>B-3 BALAJI ESTATE NR, G,D HIGH SCHOOL NARODA ROAD AHMEDABAD</t>
  </si>
  <si>
    <t>24AAKFH0624H1ZP</t>
  </si>
  <si>
    <t>MAHALAXMI  FABRICATION</t>
  </si>
  <si>
    <t>B-15, DEV I LAND KATHWADA AHMEDABAD</t>
  </si>
  <si>
    <t>MANSI DEVELOPERS</t>
  </si>
  <si>
    <t>GAJANAN INDUSTRIAL HUB-3 VATVA GIDC AHMEDABAD</t>
  </si>
  <si>
    <t>24ABNFM2929C1ZD</t>
  </si>
  <si>
    <t>MAYUSHA INFRACON</t>
  </si>
  <si>
    <t>SHYAM PARISAR NIKOL AHMEDABAD</t>
  </si>
  <si>
    <t>MUNI BUILDCON</t>
  </si>
  <si>
    <t>NARODA SMART CITY =2 UNIT OF KESHAVPRIYA CORP PVT. LTD</t>
  </si>
  <si>
    <t>NARODA AHMEDABAD</t>
  </si>
  <si>
    <t>AASHIRWWAAD CITY ODHAV AHMEDABAD</t>
  </si>
  <si>
    <t>NARODA BUSSINESS HUB UNIT OF KESHAVPRIYA CORP PVT. LTD.</t>
  </si>
  <si>
    <t>MUNI CORPORATION</t>
  </si>
  <si>
    <t>NARODA  ICON NARODA AHMEDABAD</t>
  </si>
  <si>
    <t>NIRGUN DEVELOPER</t>
  </si>
  <si>
    <t>NARODA SKY HANSPHRA NARODA AHMEDABAD</t>
  </si>
  <si>
    <t>24AASFN2894B1Z3</t>
  </si>
  <si>
    <t>OM EXIM</t>
  </si>
  <si>
    <t>60,GOKUL DUPLEX NAVA NARODA AHMEDABAD</t>
  </si>
  <si>
    <t>24AOPPP4338H1ZN</t>
  </si>
  <si>
    <t>PARESH INDUSTRIES</t>
  </si>
  <si>
    <t>NEW NARODA AHMEDABAD</t>
  </si>
  <si>
    <t>24AZKPP6188R1Z9</t>
  </si>
  <si>
    <t>PATEL INDUSTRIES</t>
  </si>
  <si>
    <t>B 157 PHASE 2 GIDC VATVA AHMEDABAD GUJARAT 382445</t>
  </si>
  <si>
    <t>POOJA PLAST</t>
  </si>
  <si>
    <t>22/23 MAHAVIR INDUSTRIAL ESTATE NEAR ZAVERI ESTATE KATHWADA SINGARVA Ahmedabad 382430</t>
  </si>
  <si>
    <t>PRAGATI INDUSTRIES</t>
  </si>
  <si>
    <t>34-SAFHAL ESTETA -1 KATHWADA AHMEDABAD</t>
  </si>
  <si>
    <t>24AGHPP6490J1ZY</t>
  </si>
  <si>
    <t>PRATHAM INFRASTRUCTURES</t>
  </si>
  <si>
    <t>RADHE FORTUNE AHMEDABAD</t>
  </si>
  <si>
    <t>24AAQFP4016K1Z2</t>
  </si>
  <si>
    <t>RAJVI CORPORATION</t>
  </si>
  <si>
    <t>ASHIRWAD HEIGHTS VASNA AHMEDABAD</t>
  </si>
  <si>
    <t>AASHIRWWAAD SKY VASANA AHMEDABAD</t>
  </si>
  <si>
    <t>RAMDEV BUILDCON</t>
  </si>
  <si>
    <t>DEVASYA STATUS NIKOL AHMEDABADA</t>
  </si>
  <si>
    <t>RAMDEV CORPORATION</t>
  </si>
  <si>
    <t>DEVASYA GOLD NIKOL AHMEDABAD</t>
  </si>
  <si>
    <t>OM ENTERPRISE</t>
  </si>
  <si>
    <t>28 ,29 SWAMINARAYAN ESTATE  SARKHEJ Ahmedabad</t>
  </si>
  <si>
    <t>RIDDHI VINAYAK ENGINEERS</t>
  </si>
  <si>
    <t>C-77 ZAVERI IND. ESTATE KATHWADA AHMEDABAD</t>
  </si>
  <si>
    <t>24AOGPP4655N1ZF</t>
  </si>
  <si>
    <t>36-SHUBH ESTATE KATHWADA SINGARWA RD AHMEDABAD</t>
  </si>
  <si>
    <t>RJ BROTHERS AUTO EQVIPMENTS CO</t>
  </si>
  <si>
    <t>SHED NO-4 PARTH END ESTATE KATHWADA AHMEDABAD</t>
  </si>
  <si>
    <t>24BJAPK7466A1ZJ</t>
  </si>
  <si>
    <t>RUDRA STEEL INDUSTRIES</t>
  </si>
  <si>
    <t>42,KESAR IND,EST,KATHWADA AHMEDABAD</t>
  </si>
  <si>
    <t>24AORPP9052L1Z7</t>
  </si>
  <si>
    <t>SAKAR CONSTRUCTION</t>
  </si>
  <si>
    <t>SAKAR RAJ RESIDENCY KATWADA AHMEDABAD</t>
  </si>
  <si>
    <t>SANTOK STEEL</t>
  </si>
  <si>
    <t>77,SHREENATHJI ESTATE KATHWADA GIDC AHMEDABAD</t>
  </si>
  <si>
    <t>24AQCPP1048H1Z3</t>
  </si>
  <si>
    <t>SHINE DEVELOPERS</t>
  </si>
  <si>
    <t>CENTRE POINT GOTA, AHMEDABAD</t>
  </si>
  <si>
    <t>SHIV DEVELOPERS</t>
  </si>
  <si>
    <t>RING ROAD NANA CHILODA AHMEDABAD</t>
  </si>
  <si>
    <t>SHIV INFRASPACE</t>
  </si>
  <si>
    <t>SERENITY SPACE JAGATPUR AHMEDABAD</t>
  </si>
  <si>
    <t>SHIV SHAKTI FABRICATION</t>
  </si>
  <si>
    <t>BLOCK -C/204 VIRAJ RESI SINGARVA AHMEDABAD</t>
  </si>
  <si>
    <t>24CHFPP5240R1ZU</t>
  </si>
  <si>
    <t>SHLOK PROERTIES</t>
  </si>
  <si>
    <t>GOTA AHMEDABAD</t>
  </si>
  <si>
    <t>SHREE BHAVANI INDUSTERES</t>
  </si>
  <si>
    <t>20,MARUTI KALPATARU ESTATE BAPUNAGAR AHMEDABAD</t>
  </si>
  <si>
    <t>24AQYPM2106R1Z6</t>
  </si>
  <si>
    <t>SHREE CHAMUNDA CONSTRUCTION</t>
  </si>
  <si>
    <t>24BIPPP6598C1ZQ</t>
  </si>
  <si>
    <t>RADHE PARAMOUNT NRAR NANA CHILODA CROSS ROAD NAYARA PETROL PUMP AHMADABAD</t>
  </si>
  <si>
    <t>SHREE GANESH DEVELOPERS</t>
  </si>
  <si>
    <t>KESHVAM HEIGHTS GODREJ GAARDEN CITY ROAD TRAGAD AHMEDABAD</t>
  </si>
  <si>
    <t>24ADRFS6006N1ZK</t>
  </si>
  <si>
    <t xml:space="preserve"> SHREE RAMDEV CORPORATION</t>
  </si>
  <si>
    <t>DEVASYA GOLD PLUS NIKOL AHMEDABAD</t>
  </si>
  <si>
    <t>24AEDFS1818P1ZQ</t>
  </si>
  <si>
    <t>Shreenath Realty</t>
  </si>
  <si>
    <t>shreenath Signet -3 Nikol-Naroda Roda AHMEDABAD</t>
  </si>
  <si>
    <t>24AECFS9676J1ZF</t>
  </si>
  <si>
    <t>SHRIJI DEVELOPERS</t>
  </si>
  <si>
    <t>SHALIGRAM PLUS, NR. VISHWAKARMA TEMPLE, CHANDLODIYA, AHMEDABAD</t>
  </si>
  <si>
    <t>24ABIFS4474K1ZR</t>
  </si>
  <si>
    <t>SUVARNBHUMI DEVELOPERS</t>
  </si>
  <si>
    <t>SUVARNBHUMI DEVELOPERS BAKROL AHMEDABAD</t>
  </si>
  <si>
    <t>24ADHFS2064A1ZJ</t>
  </si>
  <si>
    <t>SWAMI DEVELOPERS</t>
  </si>
  <si>
    <t>HANSPURA NARODA AHMEDABAD</t>
  </si>
  <si>
    <t>24ADTFS4030N1ZM</t>
  </si>
  <si>
    <t>SYPHON AUTOMATION PVT LTD</t>
  </si>
  <si>
    <t>H-1006. TITANIUM CITY CENTER AHMEDABAD</t>
  </si>
  <si>
    <t>24ABBCS1243C1Z0</t>
  </si>
  <si>
    <t>PARSHW ENGINEERS</t>
  </si>
  <si>
    <t>26,SWAMINARAYAN ESTATE BAPUNAGAR AHMEDABAD</t>
  </si>
  <si>
    <t>24BAWPS8533F1Z4</t>
  </si>
  <si>
    <t>THE NARODA NAGRIK CO OP BANK LTD</t>
  </si>
  <si>
    <t>A-1/2,DHARMSUT CO.OP.SOCIETY,,NAROD BANK BHAVAN AHMEDABAD</t>
  </si>
  <si>
    <t>24AAAAT9803D1ZQ</t>
  </si>
  <si>
    <t xml:space="preserve"> UMA FURNITURE</t>
  </si>
  <si>
    <t>1, KRISHNA ESTATE,NR GOKUL ESTATE,KTHWADA SINGRAVA-KHATHWADA AHMEDABAD</t>
  </si>
  <si>
    <t>24DAQPP4654G1ZB</t>
  </si>
  <si>
    <t>UMA INFRACON</t>
  </si>
  <si>
    <t>SHOP NO 18-19, NEELGIRI APPARTMENT, NR SOLA BHAGWAT VIDHYAPITH, SOLA AHMEDABAD</t>
  </si>
  <si>
    <t>24AAFFU3239G1ZA</t>
  </si>
  <si>
    <t>UMA FABRICATION AND ROLLING SHUTTERS</t>
  </si>
  <si>
    <t>E-2 SHAYONA ESTATE MEMCO AHMEDABAD</t>
  </si>
  <si>
    <t>24AKVPP5825D1ZV</t>
  </si>
  <si>
    <t>VAIBHAV ENGINEERING</t>
  </si>
  <si>
    <t>A-66 DEVILAND,ESTATE, KATHWADA AHMEDABAD</t>
  </si>
  <si>
    <t>VARNI INFRA</t>
  </si>
  <si>
    <t>25. DHARMNANDA SOCIETY NR. SUKAN BUNGLOW AHMEDABAD</t>
  </si>
  <si>
    <t>24AATFV5570F1ZR</t>
  </si>
  <si>
    <t>VEER DEVELOPERS</t>
  </si>
  <si>
    <t>FF-10,MAURYA TIME SQUARE SCIENCE CITY ROAD AHMEDABAD</t>
  </si>
  <si>
    <t>24AAQFV8690P1ZY</t>
  </si>
  <si>
    <t>VISHWAKARMA STEEL INDUSTRIES</t>
  </si>
  <si>
    <t>B-3 VISHVANATH BUNGLOWS ODHAV AHMEDABAD</t>
  </si>
  <si>
    <t>24AYHPP0683K1Z4</t>
  </si>
  <si>
    <t>VRUNDAVAN ENTERPRISE</t>
  </si>
  <si>
    <t>NARODA BUSINESS POINT NARODA AHMEDABAD</t>
  </si>
  <si>
    <t>24AASFV8283G1ZI</t>
  </si>
  <si>
    <t xml:space="preserve">Party GST NO : </t>
  </si>
  <si>
    <t>24AANFC6879N1ZL</t>
  </si>
  <si>
    <t xml:space="preserve">   Mo. : +919898245082  E-Mail : jdpatel6227@gmail.com</t>
  </si>
  <si>
    <t>Bank Name : Kotak Mahindra Bank Ltd.</t>
  </si>
  <si>
    <t>Bank A/C. No. : 9898245082</t>
  </si>
  <si>
    <t>IFSC CODE : KKBK0002606</t>
  </si>
  <si>
    <t xml:space="preserve"> </t>
  </si>
  <si>
    <t>SHREE UMIYA ENTERPRISE</t>
  </si>
  <si>
    <t>21, SHYAM 36, BUNGLOW VASTRAL AHMEDABAD</t>
  </si>
  <si>
    <t>24ANEPP0112F1ZO</t>
  </si>
  <si>
    <t>Carting</t>
  </si>
  <si>
    <t>Loading/Unloading</t>
  </si>
  <si>
    <t>MOHAN ENGINEERING WORKS</t>
  </si>
  <si>
    <t>25,SHYAM INDUSTRIAL ESTATE OPP, KARM IND,ESTATE KATHWADA AHMEDABAD</t>
  </si>
  <si>
    <t>24AGAPP3172C1ZV</t>
  </si>
  <si>
    <t>WELD MESH ZALI</t>
  </si>
  <si>
    <t>24AIZPP8083B1ZR</t>
  </si>
  <si>
    <t xml:space="preserve">VIMAL KEY </t>
  </si>
  <si>
    <t>122,KARUNASAGAR ESTATE, ANIL STARCH ROAD , BAPUNAGAR, AHMEDABAD-380025</t>
  </si>
  <si>
    <t>SRUSHTI ENGENEERS</t>
  </si>
  <si>
    <t>D-3 ZAVERI ESTATE KATHWADA AHMEDABAD</t>
  </si>
  <si>
    <t>24APXPP8016R1ZT</t>
  </si>
  <si>
    <t>1 , 2, VERSATILE ESTATE, ROAD NO-5 KATHWADA GIDC AHMEDABAD</t>
  </si>
  <si>
    <t xml:space="preserve">1 , 2 ,VERSATILE  ESTATE  ROAD NO-5  KATHWADA GIDC AHMEDABAD </t>
  </si>
  <si>
    <t>DEVAM BUILDCON</t>
  </si>
  <si>
    <t>P D P ROAD RAISEN GANDHINAGAR</t>
  </si>
  <si>
    <t>24AAJFD9284A1ZI</t>
  </si>
  <si>
    <t>MS BEAM</t>
  </si>
  <si>
    <t>SHUBH ROLLING SUTTERS AND FEBRICTION</t>
  </si>
  <si>
    <t>56, SHUBHAM ESTATE KATHWADA AHMEDABAD</t>
  </si>
  <si>
    <t>24ASHPP5187G1ZG</t>
  </si>
  <si>
    <t>AVIRA INDUSTRES</t>
  </si>
  <si>
    <t>608,MONA ESTATE OPP, ANIL STRACH MILL BAPUNAGAR AHMEDABAD</t>
  </si>
  <si>
    <t>24ASJPP1481H1ZN</t>
  </si>
  <si>
    <t>SHINE INFRA</t>
  </si>
  <si>
    <t>SHINE SWASTI TRAGAD AHMEDABAD</t>
  </si>
  <si>
    <t>24AEHFS6876D1ZR</t>
  </si>
  <si>
    <t>ROLLING SHUTTERS</t>
  </si>
  <si>
    <t>24ACWPP4573B2ZB</t>
  </si>
  <si>
    <t>ROLLING SHUTTERS PARTS</t>
  </si>
  <si>
    <t>SHREE VAHANVATI  INDUSTRIAL</t>
  </si>
  <si>
    <t>57, SAFAL INDUSTRIAL KATHAWAADA AHHMEDABAD</t>
  </si>
  <si>
    <t>24BIBPP2696B1ZF</t>
  </si>
  <si>
    <t>MLS. TRINETRI CONSTRUCTIONS</t>
  </si>
  <si>
    <t>SHOP 4 B/BLOCK SONA APARTMENT JIVRAJPARK VEJALPUR AHMEDABAD</t>
  </si>
  <si>
    <t>24EAWPS9208G1Z1</t>
  </si>
  <si>
    <t>SONA ROLLING SHUTTERS &amp; ENG. WORKS</t>
  </si>
  <si>
    <t>POLT NO 195, ROAD NO 3 KATHWADA GIDC, KATHWADA AHMEDDABAD</t>
  </si>
  <si>
    <t>24AAFFS6146N1ZT</t>
  </si>
  <si>
    <t>JOB WORK</t>
  </si>
  <si>
    <t>JAY BALAJI STEELS</t>
  </si>
  <si>
    <t>440/5/6 CHOKSHI CHAWL, RAKHIAL AHMEDABAD</t>
  </si>
  <si>
    <t>ROLLING SHUTTER PATTI</t>
  </si>
  <si>
    <t>24AIEPG0870C1ZW</t>
  </si>
  <si>
    <t>SHIV ENGINEERING</t>
  </si>
  <si>
    <t>SHED NO ,11, SWAMINARAYAN INDUSTRIAL PARK KATHWADA AHMEDABAD</t>
  </si>
  <si>
    <t>24AERFS7957K1Z2</t>
  </si>
  <si>
    <t>AKSHAR DEVELOPERS</t>
  </si>
  <si>
    <t>AKSHAR STATS OPP, RADHE RESEDANCY NARODA</t>
  </si>
  <si>
    <t>24ABUFA3638D1ZG</t>
  </si>
  <si>
    <t>MAYA ROLLING SHUTTERS AND ENGG.WORKS</t>
  </si>
  <si>
    <t>5,VISHWANATH BUNGLOWS,NR SHVIDARSHAN ,ODHAV AHMEDABAD 382415</t>
  </si>
  <si>
    <t>24BFHPP0046Q1Z5</t>
  </si>
  <si>
    <t>ABHISHEK INFRA</t>
  </si>
  <si>
    <t>8-A, NANDANVAN BUNGLOWS, NEAR BJP KARYALAY, KOBA CIRCLE, GANDHINAGAR</t>
  </si>
  <si>
    <t>24ABYFA2067J1Z2</t>
  </si>
  <si>
    <t>VASU FABRICATION</t>
  </si>
  <si>
    <t>24CGEPP4939B1ZI</t>
  </si>
  <si>
    <t>425-430, VIVEKANAND IND PARK, KUBADTHAL, KUHA, AHMEDABAD  GUJARAT,382433</t>
  </si>
  <si>
    <t>GAYATRI CHEMICAL INDUSTRIESS</t>
  </si>
  <si>
    <t>PLOT NO 200 ,201 PHASE -2 GIDC NAARODA AHMEDABAAD</t>
  </si>
  <si>
    <t>24AAXPP2847H1Z6</t>
  </si>
  <si>
    <t>SAI COMPLEX NEAR GANNGA CEMENTT KUBBER AHMEDABAD -382340</t>
  </si>
  <si>
    <t>24ABSFM0598C1Z3</t>
  </si>
  <si>
    <t>105, SHYAM  ESTATE NR PANCHRATNA ESTATE AHMEDABAD-382415</t>
  </si>
  <si>
    <t>24CKHPP3585J1ZP</t>
  </si>
  <si>
    <t>1 TON WIREROPE HOIST</t>
  </si>
  <si>
    <t>GUIDE SHOE</t>
  </si>
  <si>
    <t>GUIDE RAIL</t>
  </si>
  <si>
    <t>FUTURE AUTOBOTS</t>
  </si>
  <si>
    <t>CONCEPT FAB WORK</t>
  </si>
  <si>
    <t>HARD STEEL</t>
  </si>
  <si>
    <t>I-114, PARISIKHAR ESTATE. NEAR RAMOL AHMEDABAD</t>
  </si>
  <si>
    <t>24BSIPG0460M1ZS</t>
  </si>
  <si>
    <t>ARISTO RESIDENCY LLP</t>
  </si>
  <si>
    <t>ARISTO ANANDAM NR.MALABAAR COUNTRY-3 TRAGAD ROAD</t>
  </si>
  <si>
    <t>24ABTFA8910B1ZK</t>
  </si>
  <si>
    <t>SWAGAT JEWELLERS</t>
  </si>
  <si>
    <t>24ACTFS6596C1ZK</t>
  </si>
  <si>
    <t>SHOP NO  35 AKSHAT HEAVEN,KUHASAN GANDHINAGAR</t>
  </si>
  <si>
    <t xml:space="preserve">   Add : SHED NO 90, SHYAM INDUSTRIAL ESTATE, NR.PANCHRATNA ESTATE, KATHWADA, Ahmedabad, GUJARAT, 382430</t>
  </si>
  <si>
    <t xml:space="preserve">   STATE : GUJARAT, STATE CODE : 24                   GSTIN : 24ALQPP0422Q1ZO                    </t>
  </si>
  <si>
    <t>Branch : Kathwada,Ahmedabad-382430</t>
  </si>
  <si>
    <t>For, Parth Rolling Shutters And Febrication</t>
  </si>
  <si>
    <t>Delivery :</t>
  </si>
  <si>
    <t>/2023-24</t>
  </si>
  <si>
    <t>KASHTABHANJAN INDSTRIES CO .</t>
  </si>
  <si>
    <t>A/6 AMBIKA ESTATE, NEAR  G. D. HIGH SCHOOL, SAIJPUR BOGHA NARODA AHMEDABAD,</t>
  </si>
  <si>
    <t>24AAQFK6230J1Z5</t>
  </si>
  <si>
    <t>PERFORATED PATTI</t>
  </si>
  <si>
    <t>SHLOK ELYSIUM RC TECHICA  ROAD CHANKYAPURI AHMEDABAD</t>
  </si>
  <si>
    <t>24AAIFE5861H1ZD</t>
  </si>
  <si>
    <t>ELYSIUM INFRA</t>
  </si>
  <si>
    <t>SHREE RAMDEV CORPORATION</t>
  </si>
  <si>
    <t>KRISHNA DEVELOPERS</t>
  </si>
  <si>
    <t>SAMAY STELLAR OPP; SANT VIHAR-3 K-RAHEJA ROAD, KOBA GANDHINAGAR-382007</t>
  </si>
  <si>
    <t>24AAZFK6337M1ZI</t>
  </si>
  <si>
    <t>KINAK INDUSTRIES</t>
  </si>
  <si>
    <t>23, VANDE MATARAM 2 INDUSTRIAL ESTATE KATHWADA BHUVALDI ROAD AHMEDABAD</t>
  </si>
  <si>
    <t>24BOZPT9495N1ZB</t>
  </si>
  <si>
    <t xml:space="preserve">Aristo Developers </t>
  </si>
  <si>
    <t xml:space="preserve">Aristo Anandam-2 Opp Sidhharth Icon Tragad 100 Ft Road Ahmedabad </t>
  </si>
  <si>
    <t>24ABPFA1004N1ZK</t>
  </si>
  <si>
    <t>VRUNDAVAN BUILDCON</t>
  </si>
  <si>
    <t>24AAUFV9859Q1ZN</t>
  </si>
  <si>
    <t>AASHIRVAD UTSAV OPP. ROOP AVENUE, NIRMAL SAROVAR ROAD NEW VATVA AHMEDABAD</t>
  </si>
  <si>
    <t>PATEL (GUJ) CHEM PRIVATE LIMITED</t>
  </si>
  <si>
    <t>GIDC VATVA, PLOT NO 157 A/B, PHASE 2, VATVA AHMEDABAD 382445</t>
  </si>
  <si>
    <t>24AANCP5895Q1ZA</t>
  </si>
  <si>
    <t>KRISHNA CONSTRUTION</t>
  </si>
  <si>
    <t>ASHWAMEGH BUNGLOWS ,30 NR. SHUKAN BUNGLOWS NIKOL NARODA ROAD AHMEDABAD</t>
  </si>
  <si>
    <t>24AASFK2100R1Z2</t>
  </si>
  <si>
    <t>SUN INFRA</t>
  </si>
  <si>
    <t>F.P NO. 24 SUB PLOT NO, 1, SURVEY NO, 73 SAMAY ARISTO, NR, LAXMI SKYCTY, BILASIYA AHMEDABAD</t>
  </si>
  <si>
    <t>24AENFS2960L1ZJ</t>
  </si>
  <si>
    <t>MAHAKALI INDUSTRIES</t>
  </si>
  <si>
    <t>POLOT NO, 160, G.I.D.C ,ROAD NO. 4/A, KATHWADA,AHMEDABAD 382430</t>
  </si>
  <si>
    <t>24ARXPP3771H1Z6</t>
  </si>
  <si>
    <t>SIGNATURE DEVELOPERS</t>
  </si>
  <si>
    <t>24AESFS4123C1Z6</t>
  </si>
  <si>
    <t>SUR NO 183/4 SIGNATURE DEVELOPERS, KOBA GANDHINAGAR 382421</t>
  </si>
  <si>
    <t>GJ27TT9263</t>
  </si>
  <si>
    <t>631654523425</t>
  </si>
  <si>
    <t>• Goods Once Sold Will Not Be Taken Back.</t>
  </si>
  <si>
    <t>Vehicle No. :</t>
  </si>
  <si>
    <t xml:space="preserve">E-Way Bill No.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</si>
</sst>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[Red]#,##0"/>
    <numFmt numFmtId="165" formatCode="#,##0.00;[Red]#,##0.00"/>
    <numFmt numFmtId="166" formatCode="&quot;₹&quot;\ #,##0.00"/>
    <numFmt numFmtId="167" formatCode="0;[Red]0"/>
  </numFmts>
  <fonts count="21" x14ac:knownFonts="1">
    <font>
      <sz val="11"/>
      <color theme="1"/>
      <name val="Arial"/>
    </font>
    <font>
      <sz val="11"/>
      <color theme="1"/>
      <name val="Arial"/>
      <family val="2"/>
    </font>
    <font>
      <b/>
      <sz val="12"/>
      <name val="Arial"/>
      <family val="2"/>
    </font>
    <font>
      <b/>
      <sz val="10"/>
      <color rgb="FFFF0000"/>
      <name val="Calibri"/>
      <family val="2"/>
      <scheme val="major"/>
    </font>
    <font>
      <b/>
      <sz val="14"/>
      <name val="Arial"/>
      <family val="2"/>
    </font>
    <font>
      <b/>
      <sz val="10"/>
      <color theme="1"/>
      <name val="Calibri"/>
      <family val="2"/>
      <scheme val="major"/>
    </font>
    <font>
      <sz val="11"/>
      <color theme="1"/>
      <name val="Calibri"/>
      <family val="2"/>
      <scheme val="major"/>
    </font>
    <font>
      <b/>
      <sz val="18"/>
      <color theme="1"/>
      <name val="Calibri"/>
      <family val="2"/>
      <scheme val="major"/>
    </font>
    <font>
      <b/>
      <sz val="11"/>
      <color theme="1"/>
      <name val="Calibri"/>
      <family val="2"/>
      <scheme val="major"/>
    </font>
    <font>
      <b/>
      <sz val="12"/>
      <color theme="1"/>
      <name val="Calibri"/>
      <family val="2"/>
      <scheme val="major"/>
    </font>
    <font>
      <b/>
      <sz val="10"/>
      <color theme="4" tint="-0.499984740745262"/>
      <name val="Calibri"/>
      <family val="2"/>
      <scheme val="major"/>
    </font>
    <font>
      <sz val="10"/>
      <color theme="4" tint="-0.499984740745262"/>
      <name val="Calibri"/>
      <family val="2"/>
      <scheme val="major"/>
    </font>
    <font>
      <b/>
      <sz val="10"/>
      <name val="Calibri"/>
      <family val="2"/>
      <scheme val="major"/>
    </font>
    <font>
      <sz val="12"/>
      <name val="Calibri"/>
      <family val="2"/>
      <scheme val="major"/>
    </font>
    <font>
      <sz val="1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10"/>
      <color theme="1"/>
      <name val="Calibri"/>
      <family val="2"/>
      <scheme val="major"/>
    </font>
    <font>
      <b/>
      <u/>
      <sz val="12"/>
      <name val="Calibri"/>
      <family val="2"/>
      <scheme val="major"/>
    </font>
    <font>
      <b/>
      <sz val="12"/>
      <color theme="9" tint="-0.499984740745262"/>
      <name val="Calibri"/>
      <family val="2"/>
      <scheme val="major"/>
    </font>
    <font>
      <b/>
      <sz val="14"/>
      <color theme="1"/>
      <name val="Calibri"/>
      <family val="2"/>
      <scheme val="major"/>
    </font>
    <font>
      <b/>
      <sz val="11"/>
      <name val="Calibri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2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" fillId="0" borderId="6" xfId="0" applyFont="1" applyBorder="1" applyAlignment="1">
      <alignment horizontal="left" vertical="center" indent="2"/>
    </xf>
    <xf numFmtId="0" fontId="1" fillId="0" borderId="2" xfId="0" applyFont="1" applyBorder="1" applyAlignment="1">
      <alignment horizontal="left" vertical="center" indent="2"/>
    </xf>
    <xf numFmtId="0" fontId="0" fillId="0" borderId="6" xfId="0" applyBorder="1" applyAlignment="1">
      <alignment horizontal="left" vertical="center" indent="2"/>
    </xf>
    <xf numFmtId="0" fontId="0" fillId="0" borderId="0" xfId="0" applyAlignment="1">
      <alignment horizontal="left" indent="1"/>
    </xf>
    <xf numFmtId="0" fontId="0" fillId="0" borderId="2" xfId="0" applyBorder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2" fillId="2" borderId="5" xfId="0" applyFont="1" applyFill="1" applyBorder="1" applyAlignment="1">
      <alignment horizontal="left" vertical="center" indent="2"/>
    </xf>
    <xf numFmtId="0" fontId="4" fillId="2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 indent="2"/>
    </xf>
    <xf numFmtId="0" fontId="3" fillId="3" borderId="7" xfId="0" applyFont="1" applyFill="1" applyBorder="1" applyAlignment="1" applyProtection="1">
      <alignment horizontal="left" vertical="center"/>
      <protection locked="0"/>
    </xf>
    <xf numFmtId="164" fontId="6" fillId="4" borderId="0" xfId="0" applyNumberFormat="1" applyFont="1" applyFill="1" applyProtection="1">
      <protection locked="0"/>
    </xf>
    <xf numFmtId="164" fontId="6" fillId="4" borderId="0" xfId="0" applyNumberFormat="1" applyFont="1" applyFill="1" applyAlignment="1" applyProtection="1">
      <alignment vertical="top"/>
      <protection locked="0"/>
    </xf>
    <xf numFmtId="164" fontId="7" fillId="3" borderId="14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horizontal="center" vertical="center"/>
    </xf>
    <xf numFmtId="164" fontId="8" fillId="4" borderId="0" xfId="0" applyNumberFormat="1" applyFont="1" applyFill="1" applyProtection="1">
      <protection locked="0"/>
    </xf>
    <xf numFmtId="164" fontId="7" fillId="3" borderId="13" xfId="0" applyNumberFormat="1" applyFont="1" applyFill="1" applyBorder="1" applyAlignment="1">
      <alignment horizontal="center" vertical="center"/>
    </xf>
    <xf numFmtId="164" fontId="7" fillId="3" borderId="0" xfId="0" applyNumberFormat="1" applyFont="1" applyFill="1" applyAlignment="1">
      <alignment horizontal="center" vertical="center"/>
    </xf>
    <xf numFmtId="164" fontId="7" fillId="3" borderId="15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vertical="top"/>
    </xf>
    <xf numFmtId="164" fontId="7" fillId="3" borderId="0" xfId="0" applyNumberFormat="1" applyFont="1" applyFill="1" applyAlignment="1">
      <alignment vertical="top"/>
    </xf>
    <xf numFmtId="164" fontId="7" fillId="3" borderId="15" xfId="0" applyNumberFormat="1" applyFont="1" applyFill="1" applyBorder="1" applyAlignment="1">
      <alignment vertical="top"/>
    </xf>
    <xf numFmtId="164" fontId="5" fillId="3" borderId="13" xfId="0" applyNumberFormat="1" applyFont="1" applyFill="1" applyBorder="1" applyAlignment="1">
      <alignment horizontal="left" vertical="top"/>
    </xf>
    <xf numFmtId="164" fontId="5" fillId="3" borderId="0" xfId="0" applyNumberFormat="1" applyFont="1" applyFill="1" applyAlignment="1">
      <alignment horizontal="left" vertical="top"/>
    </xf>
    <xf numFmtId="0" fontId="6" fillId="3" borderId="0" xfId="0" applyFont="1" applyFill="1" applyAlignment="1">
      <alignment horizontal="left"/>
    </xf>
    <xf numFmtId="164" fontId="5" fillId="3" borderId="0" xfId="0" applyNumberFormat="1" applyFont="1" applyFill="1" applyAlignment="1">
      <alignment vertical="top"/>
    </xf>
    <xf numFmtId="164" fontId="6" fillId="0" borderId="10" xfId="0" applyNumberFormat="1" applyFont="1" applyBorder="1" applyAlignment="1" applyProtection="1">
      <alignment horizontal="center"/>
      <protection locked="0"/>
    </xf>
    <xf numFmtId="164" fontId="6" fillId="0" borderId="3" xfId="0" applyNumberFormat="1" applyFont="1" applyBorder="1" applyAlignment="1" applyProtection="1">
      <alignment horizontal="center"/>
      <protection locked="0"/>
    </xf>
    <xf numFmtId="164" fontId="6" fillId="0" borderId="1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left" vertical="center"/>
    </xf>
    <xf numFmtId="164" fontId="8" fillId="3" borderId="1" xfId="0" applyNumberFormat="1" applyFont="1" applyFill="1" applyBorder="1" applyAlignment="1" applyProtection="1">
      <alignment horizontal="left"/>
      <protection locked="0"/>
    </xf>
    <xf numFmtId="0" fontId="6" fillId="3" borderId="1" xfId="0" applyFont="1" applyFill="1" applyBorder="1" applyProtection="1">
      <protection locked="0"/>
    </xf>
    <xf numFmtId="0" fontId="3" fillId="3" borderId="9" xfId="0" applyFont="1" applyFill="1" applyBorder="1" applyAlignment="1" applyProtection="1">
      <alignment horizontal="left" vertical="center"/>
      <protection locked="0"/>
    </xf>
    <xf numFmtId="164" fontId="5" fillId="3" borderId="1" xfId="0" applyNumberFormat="1" applyFont="1" applyFill="1" applyBorder="1" applyAlignment="1">
      <alignment vertical="center"/>
    </xf>
    <xf numFmtId="164" fontId="8" fillId="3" borderId="1" xfId="0" applyNumberFormat="1" applyFont="1" applyFill="1" applyBorder="1" applyAlignment="1">
      <alignment horizontal="left" vertical="top"/>
    </xf>
    <xf numFmtId="164" fontId="8" fillId="3" borderId="1" xfId="0" applyNumberFormat="1" applyFont="1" applyFill="1" applyBorder="1" applyAlignment="1">
      <alignment vertical="top"/>
    </xf>
    <xf numFmtId="164" fontId="8" fillId="3" borderId="8" xfId="0" applyNumberFormat="1" applyFont="1" applyFill="1" applyBorder="1" applyAlignment="1">
      <alignment horizontal="left" vertical="top"/>
    </xf>
    <xf numFmtId="14" fontId="10" fillId="3" borderId="1" xfId="0" applyNumberFormat="1" applyFont="1" applyFill="1" applyBorder="1" applyAlignment="1" applyProtection="1">
      <alignment horizontal="left" indent="2"/>
      <protection locked="0"/>
    </xf>
    <xf numFmtId="0" fontId="11" fillId="3" borderId="5" xfId="0" applyFont="1" applyFill="1" applyBorder="1" applyAlignment="1" applyProtection="1">
      <alignment horizontal="left" indent="2"/>
      <protection locked="0"/>
    </xf>
    <xf numFmtId="164" fontId="8" fillId="4" borderId="0" xfId="0" applyNumberFormat="1" applyFont="1" applyFill="1" applyAlignment="1" applyProtection="1">
      <alignment horizontal="right"/>
      <protection locked="0"/>
    </xf>
    <xf numFmtId="164" fontId="8" fillId="3" borderId="1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vertical="top"/>
    </xf>
    <xf numFmtId="0" fontId="3" fillId="3" borderId="6" xfId="0" applyFont="1" applyFill="1" applyBorder="1" applyAlignment="1">
      <alignment vertical="center"/>
    </xf>
    <xf numFmtId="0" fontId="12" fillId="3" borderId="4" xfId="0" applyFont="1" applyFill="1" applyBorder="1" applyAlignment="1">
      <alignment horizontal="right" vertical="center"/>
    </xf>
    <xf numFmtId="164" fontId="6" fillId="0" borderId="6" xfId="0" applyNumberFormat="1" applyFont="1" applyBorder="1" applyAlignment="1" applyProtection="1">
      <alignment horizontal="left" vertical="center"/>
      <protection locked="0"/>
    </xf>
    <xf numFmtId="164" fontId="6" fillId="0" borderId="7" xfId="0" applyNumberFormat="1" applyFont="1" applyBorder="1" applyAlignment="1" applyProtection="1">
      <alignment horizontal="left" vertical="center"/>
      <protection locked="0"/>
    </xf>
    <xf numFmtId="9" fontId="8" fillId="4" borderId="0" xfId="0" applyNumberFormat="1" applyFont="1" applyFill="1" applyProtection="1">
      <protection locked="0"/>
    </xf>
    <xf numFmtId="0" fontId="5" fillId="3" borderId="8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 wrapText="1"/>
    </xf>
    <xf numFmtId="0" fontId="8" fillId="4" borderId="0" xfId="0" applyFont="1" applyFill="1" applyProtection="1">
      <protection locked="0"/>
    </xf>
    <xf numFmtId="0" fontId="8" fillId="3" borderId="8" xfId="0" applyFont="1" applyFill="1" applyBorder="1" applyAlignment="1">
      <alignment horizontal="center"/>
    </xf>
    <xf numFmtId="164" fontId="5" fillId="3" borderId="2" xfId="0" applyNumberFormat="1" applyFont="1" applyFill="1" applyBorder="1" applyAlignment="1" applyProtection="1">
      <alignment horizontal="left" indent="1"/>
      <protection locked="0"/>
    </xf>
    <xf numFmtId="164" fontId="14" fillId="3" borderId="2" xfId="0" applyNumberFormat="1" applyFont="1" applyFill="1" applyBorder="1" applyAlignment="1" applyProtection="1">
      <alignment horizontal="left" indent="1"/>
      <protection locked="0"/>
    </xf>
    <xf numFmtId="167" fontId="5" fillId="3" borderId="14" xfId="0" applyNumberFormat="1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 applyProtection="1">
      <alignment horizontal="center" vertical="center"/>
      <protection locked="0"/>
    </xf>
    <xf numFmtId="2" fontId="5" fillId="3" borderId="9" xfId="0" applyNumberFormat="1" applyFont="1" applyFill="1" applyBorder="1" applyAlignment="1" applyProtection="1">
      <alignment horizontal="center" vertical="center"/>
      <protection locked="0"/>
    </xf>
    <xf numFmtId="2" fontId="5" fillId="3" borderId="2" xfId="0" applyNumberFormat="1" applyFont="1" applyFill="1" applyBorder="1" applyAlignment="1">
      <alignment horizontal="center" vertical="center"/>
    </xf>
    <xf numFmtId="2" fontId="14" fillId="3" borderId="9" xfId="0" applyNumberFormat="1" applyFont="1" applyFill="1" applyBorder="1" applyAlignment="1">
      <alignment horizontal="center" vertical="center"/>
    </xf>
    <xf numFmtId="164" fontId="8" fillId="4" borderId="0" xfId="0" applyNumberFormat="1" applyFont="1" applyFill="1" applyAlignment="1" applyProtection="1">
      <alignment horizontal="left"/>
      <protection locked="0"/>
    </xf>
    <xf numFmtId="0" fontId="8" fillId="3" borderId="12" xfId="0" applyFont="1" applyFill="1" applyBorder="1" applyAlignment="1">
      <alignment horizontal="center"/>
    </xf>
    <xf numFmtId="164" fontId="5" fillId="3" borderId="0" xfId="0" applyNumberFormat="1" applyFont="1" applyFill="1" applyAlignment="1" applyProtection="1">
      <alignment horizontal="left" indent="1"/>
      <protection locked="0"/>
    </xf>
    <xf numFmtId="164" fontId="14" fillId="3" borderId="0" xfId="0" applyNumberFormat="1" applyFont="1" applyFill="1" applyAlignment="1" applyProtection="1">
      <alignment horizontal="left" indent="1"/>
      <protection locked="0"/>
    </xf>
    <xf numFmtId="167" fontId="5" fillId="3" borderId="13" xfId="0" applyNumberFormat="1" applyFont="1" applyFill="1" applyBorder="1" applyAlignment="1">
      <alignment horizontal="center" vertical="center"/>
    </xf>
    <xf numFmtId="2" fontId="5" fillId="3" borderId="12" xfId="0" applyNumberFormat="1" applyFont="1" applyFill="1" applyBorder="1" applyAlignment="1" applyProtection="1">
      <alignment horizontal="center" vertical="center"/>
      <protection locked="0"/>
    </xf>
    <xf numFmtId="2" fontId="5" fillId="3" borderId="15" xfId="0" applyNumberFormat="1" applyFont="1" applyFill="1" applyBorder="1" applyAlignment="1" applyProtection="1">
      <alignment horizontal="center" vertical="center"/>
      <protection locked="0"/>
    </xf>
    <xf numFmtId="2" fontId="5" fillId="3" borderId="0" xfId="0" applyNumberFormat="1" applyFont="1" applyFill="1" applyAlignment="1">
      <alignment horizontal="center" vertical="center"/>
    </xf>
    <xf numFmtId="2" fontId="14" fillId="3" borderId="15" xfId="0" applyNumberFormat="1" applyFont="1" applyFill="1" applyBorder="1" applyAlignment="1">
      <alignment horizontal="center" vertical="center"/>
    </xf>
    <xf numFmtId="164" fontId="15" fillId="4" borderId="0" xfId="0" applyNumberFormat="1" applyFont="1" applyFill="1" applyAlignment="1" applyProtection="1">
      <alignment horizontal="center"/>
      <protection locked="0"/>
    </xf>
    <xf numFmtId="164" fontId="5" fillId="3" borderId="13" xfId="0" applyNumberFormat="1" applyFont="1" applyFill="1" applyBorder="1" applyAlignment="1" applyProtection="1">
      <alignment horizontal="left" indent="1"/>
      <protection locked="0"/>
    </xf>
    <xf numFmtId="164" fontId="14" fillId="3" borderId="15" xfId="0" applyNumberFormat="1" applyFont="1" applyFill="1" applyBorder="1" applyAlignment="1" applyProtection="1">
      <alignment horizontal="left" indent="1"/>
      <protection locked="0"/>
    </xf>
    <xf numFmtId="2" fontId="5" fillId="3" borderId="0" xfId="0" applyNumberFormat="1" applyFont="1" applyFill="1" applyAlignment="1" applyProtection="1">
      <alignment horizontal="center" vertical="center"/>
      <protection locked="0"/>
    </xf>
    <xf numFmtId="2" fontId="14" fillId="3" borderId="15" xfId="0" applyNumberFormat="1" applyFont="1" applyFill="1" applyBorder="1" applyAlignment="1" applyProtection="1">
      <alignment horizontal="center" vertical="center"/>
      <protection locked="0"/>
    </xf>
    <xf numFmtId="0" fontId="8" fillId="3" borderId="13" xfId="0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64" fontId="5" fillId="3" borderId="12" xfId="0" applyNumberFormat="1" applyFont="1" applyFill="1" applyBorder="1"/>
    <xf numFmtId="164" fontId="5" fillId="3" borderId="13" xfId="0" applyNumberFormat="1" applyFont="1" applyFill="1" applyBorder="1" applyAlignment="1" applyProtection="1">
      <alignment horizontal="center"/>
      <protection locked="0"/>
    </xf>
    <xf numFmtId="164" fontId="14" fillId="3" borderId="0" xfId="0" applyNumberFormat="1" applyFont="1" applyFill="1" applyProtection="1">
      <protection locked="0"/>
    </xf>
    <xf numFmtId="164" fontId="14" fillId="3" borderId="15" xfId="0" applyNumberFormat="1" applyFont="1" applyFill="1" applyBorder="1" applyProtection="1">
      <protection locked="0"/>
    </xf>
    <xf numFmtId="164" fontId="5" fillId="3" borderId="0" xfId="0" applyNumberFormat="1" applyFont="1" applyFill="1"/>
    <xf numFmtId="2" fontId="5" fillId="3" borderId="12" xfId="0" applyNumberFormat="1" applyFont="1" applyFill="1" applyBorder="1" applyProtection="1">
      <protection locked="0"/>
    </xf>
    <xf numFmtId="164" fontId="5" fillId="3" borderId="15" xfId="0" applyNumberFormat="1" applyFont="1" applyFill="1" applyBorder="1"/>
    <xf numFmtId="164" fontId="5" fillId="3" borderId="13" xfId="0" applyNumberFormat="1" applyFont="1" applyFill="1" applyBorder="1"/>
    <xf numFmtId="164" fontId="14" fillId="3" borderId="15" xfId="0" applyNumberFormat="1" applyFont="1" applyFill="1" applyBorder="1"/>
    <xf numFmtId="164" fontId="5" fillId="3" borderId="13" xfId="0" applyNumberFormat="1" applyFont="1" applyFill="1" applyBorder="1"/>
    <xf numFmtId="164" fontId="5" fillId="3" borderId="10" xfId="0" applyNumberFormat="1" applyFont="1" applyFill="1" applyBorder="1" applyAlignment="1" applyProtection="1">
      <alignment horizontal="center"/>
      <protection locked="0"/>
    </xf>
    <xf numFmtId="164" fontId="14" fillId="3" borderId="3" xfId="0" applyNumberFormat="1" applyFont="1" applyFill="1" applyBorder="1" applyProtection="1">
      <protection locked="0"/>
    </xf>
    <xf numFmtId="164" fontId="14" fillId="3" borderId="11" xfId="0" applyNumberFormat="1" applyFont="1" applyFill="1" applyBorder="1" applyProtection="1">
      <protection locked="0"/>
    </xf>
    <xf numFmtId="164" fontId="16" fillId="3" borderId="5" xfId="0" applyNumberFormat="1" applyFont="1" applyFill="1" applyBorder="1"/>
    <xf numFmtId="2" fontId="5" fillId="3" borderId="10" xfId="0" applyNumberFormat="1" applyFont="1" applyFill="1" applyBorder="1" applyProtection="1">
      <protection locked="0"/>
    </xf>
    <xf numFmtId="164" fontId="5" fillId="3" borderId="5" xfId="0" applyNumberFormat="1" applyFont="1" applyFill="1" applyBorder="1"/>
    <xf numFmtId="164" fontId="5" fillId="3" borderId="10" xfId="0" applyNumberFormat="1" applyFont="1" applyFill="1" applyBorder="1"/>
    <xf numFmtId="164" fontId="14" fillId="3" borderId="11" xfId="0" applyNumberFormat="1" applyFont="1" applyFill="1" applyBorder="1"/>
    <xf numFmtId="164" fontId="5" fillId="3" borderId="3" xfId="0" applyNumberFormat="1" applyFont="1" applyFill="1" applyBorder="1" applyAlignment="1">
      <alignment horizontal="center"/>
    </xf>
    <xf numFmtId="164" fontId="5" fillId="3" borderId="11" xfId="0" applyNumberFormat="1" applyFont="1" applyFill="1" applyBorder="1" applyAlignment="1">
      <alignment horizontal="center"/>
    </xf>
    <xf numFmtId="164" fontId="12" fillId="3" borderId="5" xfId="0" applyNumberFormat="1" applyFont="1" applyFill="1" applyBorder="1"/>
    <xf numFmtId="165" fontId="5" fillId="3" borderId="5" xfId="0" applyNumberFormat="1" applyFont="1" applyFill="1" applyBorder="1" applyAlignment="1">
      <alignment horizontal="center"/>
    </xf>
    <xf numFmtId="164" fontId="5" fillId="3" borderId="5" xfId="0" applyNumberFormat="1" applyFont="1" applyFill="1" applyBorder="1" applyAlignment="1">
      <alignment horizontal="center"/>
    </xf>
    <xf numFmtId="166" fontId="8" fillId="3" borderId="1" xfId="0" applyNumberFormat="1" applyFont="1" applyFill="1" applyBorder="1" applyAlignment="1">
      <alignment vertical="center"/>
    </xf>
    <xf numFmtId="164" fontId="9" fillId="0" borderId="5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vertical="center"/>
    </xf>
    <xf numFmtId="166" fontId="8" fillId="3" borderId="1" xfId="0" applyNumberFormat="1" applyFont="1" applyFill="1" applyBorder="1" applyAlignment="1">
      <alignment horizontal="right" vertical="center"/>
    </xf>
    <xf numFmtId="166" fontId="18" fillId="3" borderId="1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Alignment="1" applyProtection="1">
      <alignment horizontal="left" vertical="top" wrapText="1"/>
      <protection locked="0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vertical="center"/>
    </xf>
    <xf numFmtId="166" fontId="20" fillId="3" borderId="1" xfId="0" applyNumberFormat="1" applyFont="1" applyFill="1" applyBorder="1" applyAlignment="1">
      <alignment vertical="center"/>
    </xf>
    <xf numFmtId="165" fontId="16" fillId="4" borderId="0" xfId="0" applyNumberFormat="1" applyFont="1" applyFill="1" applyAlignment="1" applyProtection="1">
      <alignment horizontal="right"/>
      <protection locked="0"/>
    </xf>
    <xf numFmtId="164" fontId="12" fillId="3" borderId="4" xfId="0" applyNumberFormat="1" applyFont="1" applyFill="1" applyBorder="1" applyAlignment="1">
      <alignment horizontal="center"/>
    </xf>
    <xf numFmtId="164" fontId="12" fillId="3" borderId="6" xfId="0" applyNumberFormat="1" applyFont="1" applyFill="1" applyBorder="1" applyAlignment="1">
      <alignment horizontal="center"/>
    </xf>
    <xf numFmtId="164" fontId="12" fillId="3" borderId="7" xfId="0" applyNumberFormat="1" applyFont="1" applyFill="1" applyBorder="1" applyAlignment="1">
      <alignment horizont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2" xfId="0" applyNumberFormat="1" applyFont="1" applyFill="1" applyBorder="1" applyAlignment="1">
      <alignment horizontal="center" vertical="top" wrapText="1"/>
    </xf>
    <xf numFmtId="164" fontId="5" fillId="3" borderId="9" xfId="0" applyNumberFormat="1" applyFont="1" applyFill="1" applyBorder="1" applyAlignment="1">
      <alignment horizontal="center" vertical="top" wrapText="1"/>
    </xf>
    <xf numFmtId="164" fontId="6" fillId="4" borderId="0" xfId="0" applyNumberFormat="1" applyFont="1" applyFill="1" applyAlignment="1" applyProtection="1">
      <alignment vertical="top" wrapText="1"/>
      <protection locked="0"/>
    </xf>
    <xf numFmtId="164" fontId="5" fillId="3" borderId="4" xfId="0" applyNumberFormat="1" applyFont="1" applyFill="1" applyBorder="1" applyAlignment="1">
      <alignment horizontal="left" vertical="center"/>
    </xf>
    <xf numFmtId="164" fontId="5" fillId="3" borderId="6" xfId="0" applyNumberFormat="1" applyFont="1" applyFill="1" applyBorder="1" applyAlignment="1">
      <alignment horizontal="left" vertical="center"/>
    </xf>
    <xf numFmtId="164" fontId="5" fillId="3" borderId="7" xfId="0" applyNumberFormat="1" applyFont="1" applyFill="1" applyBorder="1" applyAlignment="1">
      <alignment horizontal="left" vertical="center"/>
    </xf>
    <xf numFmtId="164" fontId="6" fillId="0" borderId="4" xfId="0" applyNumberFormat="1" applyFont="1" applyBorder="1" applyAlignment="1" applyProtection="1">
      <alignment horizontal="center"/>
      <protection locked="0"/>
    </xf>
    <xf numFmtId="164" fontId="6" fillId="0" borderId="6" xfId="0" applyNumberFormat="1" applyFont="1" applyBorder="1" applyAlignment="1" applyProtection="1">
      <alignment horizontal="center"/>
      <protection locked="0"/>
    </xf>
    <xf numFmtId="164" fontId="6" fillId="0" borderId="7" xfId="0" applyNumberFormat="1" applyFont="1" applyBorder="1" applyAlignment="1" applyProtection="1">
      <alignment horizontal="center"/>
      <protection locked="0"/>
    </xf>
    <xf numFmtId="164" fontId="5" fillId="3" borderId="13" xfId="0" applyNumberFormat="1" applyFont="1" applyFill="1" applyBorder="1" applyAlignment="1">
      <alignment horizontal="center" vertical="top" wrapText="1"/>
    </xf>
    <xf numFmtId="164" fontId="5" fillId="3" borderId="0" xfId="0" applyNumberFormat="1" applyFont="1" applyFill="1" applyAlignment="1">
      <alignment horizontal="center" vertical="top" wrapText="1"/>
    </xf>
    <xf numFmtId="164" fontId="5" fillId="3" borderId="15" xfId="0" applyNumberFormat="1" applyFont="1" applyFill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left" vertical="center"/>
    </xf>
    <xf numFmtId="164" fontId="5" fillId="0" borderId="6" xfId="0" applyNumberFormat="1" applyFont="1" applyBorder="1" applyAlignment="1">
      <alignment horizontal="left" vertical="center"/>
    </xf>
    <xf numFmtId="164" fontId="5" fillId="0" borderId="7" xfId="0" applyNumberFormat="1" applyFont="1" applyBorder="1" applyAlignment="1">
      <alignment horizontal="left" vertical="center"/>
    </xf>
    <xf numFmtId="165" fontId="8" fillId="4" borderId="0" xfId="0" applyNumberFormat="1" applyFont="1" applyFill="1" applyProtection="1">
      <protection locked="0"/>
    </xf>
    <xf numFmtId="164" fontId="8" fillId="4" borderId="0" xfId="0" applyNumberFormat="1" applyFont="1" applyFill="1" applyAlignment="1" applyProtection="1">
      <alignment horizontal="left" vertical="top"/>
      <protection locked="0"/>
    </xf>
    <xf numFmtId="164" fontId="5" fillId="3" borderId="9" xfId="0" applyNumberFormat="1" applyFont="1" applyFill="1" applyBorder="1" applyAlignment="1">
      <alignment horizontal="left" vertical="center"/>
    </xf>
    <xf numFmtId="164" fontId="8" fillId="3" borderId="4" xfId="0" applyNumberFormat="1" applyFont="1" applyFill="1" applyBorder="1" applyAlignment="1">
      <alignment horizontal="center" vertical="center"/>
    </xf>
    <xf numFmtId="164" fontId="8" fillId="3" borderId="6" xfId="0" applyNumberFormat="1" applyFont="1" applyFill="1" applyBorder="1" applyAlignment="1">
      <alignment horizontal="center" vertical="center"/>
    </xf>
    <xf numFmtId="164" fontId="8" fillId="3" borderId="7" xfId="0" applyNumberFormat="1" applyFont="1" applyFill="1" applyBorder="1" applyAlignment="1">
      <alignment vertical="center"/>
    </xf>
    <xf numFmtId="164" fontId="8" fillId="3" borderId="7" xfId="0" applyNumberFormat="1" applyFont="1" applyFill="1" applyBorder="1" applyAlignment="1">
      <alignment horizontal="center" vertical="center"/>
    </xf>
    <xf numFmtId="165" fontId="5" fillId="4" borderId="0" xfId="0" applyNumberFormat="1" applyFont="1" applyFill="1" applyAlignment="1" applyProtection="1">
      <alignment horizontal="right"/>
      <protection locked="0"/>
    </xf>
    <xf numFmtId="164" fontId="5" fillId="3" borderId="6" xfId="0" applyNumberFormat="1" applyFont="1" applyFill="1" applyBorder="1" applyAlignment="1" applyProtection="1">
      <alignment horizontal="left" vertical="center"/>
      <protection locked="0"/>
    </xf>
    <xf numFmtId="164" fontId="5" fillId="3" borderId="6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49" fontId="5" fillId="3" borderId="6" xfId="0" applyNumberFormat="1" applyFont="1" applyFill="1" applyBorder="1" applyAlignment="1" applyProtection="1">
      <alignment horizontal="left" vertical="center"/>
      <protection locked="0"/>
    </xf>
    <xf numFmtId="49" fontId="5" fillId="3" borderId="7" xfId="0" applyNumberFormat="1" applyFont="1" applyFill="1" applyBorder="1" applyAlignment="1" applyProtection="1">
      <alignment horizontal="left" vertical="center"/>
      <protection locked="0"/>
    </xf>
    <xf numFmtId="164" fontId="5" fillId="3" borderId="10" xfId="0" applyNumberFormat="1" applyFont="1" applyFill="1" applyBorder="1" applyAlignment="1">
      <alignment horizontal="center" vertical="top" wrapText="1"/>
    </xf>
    <xf numFmtId="164" fontId="5" fillId="3" borderId="3" xfId="0" applyNumberFormat="1" applyFont="1" applyFill="1" applyBorder="1" applyAlignment="1">
      <alignment horizontal="center" vertical="top" wrapText="1"/>
    </xf>
    <xf numFmtId="164" fontId="5" fillId="3" borderId="11" xfId="0" applyNumberFormat="1" applyFont="1" applyFill="1" applyBorder="1" applyAlignment="1">
      <alignment horizontal="center" vertical="top" wrapText="1"/>
    </xf>
    <xf numFmtId="164" fontId="5" fillId="3" borderId="4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6" fillId="4" borderId="0" xfId="0" applyFont="1" applyFill="1" applyProtection="1">
      <protection locked="0"/>
    </xf>
    <xf numFmtId="164" fontId="5" fillId="4" borderId="0" xfId="0" applyNumberFormat="1" applyFont="1" applyFill="1" applyProtection="1">
      <protection locked="0"/>
    </xf>
    <xf numFmtId="0" fontId="9" fillId="3" borderId="1" xfId="0" applyFont="1" applyFill="1" applyBorder="1" applyAlignment="1">
      <alignment horizontal="left" vertical="center" indent="2"/>
    </xf>
    <xf numFmtId="0" fontId="1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Protection="1">
      <protection locked="0"/>
    </xf>
    <xf numFmtId="0" fontId="3" fillId="3" borderId="4" xfId="0" applyFont="1" applyFill="1" applyBorder="1" applyAlignment="1" applyProtection="1">
      <alignment horizontal="right" vertical="center"/>
      <protection locked="0"/>
    </xf>
    <xf numFmtId="164" fontId="5" fillId="4" borderId="0" xfId="0" applyNumberFormat="1" applyFont="1" applyFill="1" applyAlignment="1" applyProtection="1">
      <alignment horizontal="right"/>
      <protection locked="0"/>
    </xf>
    <xf numFmtId="164" fontId="5" fillId="3" borderId="4" xfId="0" applyNumberFormat="1" applyFont="1" applyFill="1" applyBorder="1" applyAlignment="1" applyProtection="1">
      <alignment horizontal="left" vertical="center"/>
    </xf>
    <xf numFmtId="164" fontId="5" fillId="3" borderId="6" xfId="0" applyNumberFormat="1" applyFont="1" applyFill="1" applyBorder="1" applyAlignment="1" applyProtection="1">
      <alignment horizontal="left" vertical="center"/>
    </xf>
    <xf numFmtId="164" fontId="5" fillId="3" borderId="7" xfId="0" applyNumberFormat="1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-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customschemas.google.com/relationships/workbookmetadata" Target="metadata"/><Relationship Id="rId10" Type="http://schemas.openxmlformats.org/officeDocument/2006/relationships/customXml" Target="../customXml/item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40821</xdr:colOff>
      <xdr:row>11</xdr:row>
      <xdr:rowOff>68035</xdr:rowOff>
    </xdr:from>
    <xdr:to>
      <xdr:col>14</xdr:col>
      <xdr:colOff>557893</xdr:colOff>
      <xdr:row>14</xdr:row>
      <xdr:rowOff>272142</xdr:rowOff>
    </xdr:to>
    <xdr:sp macro="[0]!Clear_Cel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48500" y="1660071"/>
          <a:ext cx="1687286" cy="7347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3200" b="1"/>
            <a:t>New Bill</a:t>
          </a:r>
        </a:p>
      </xdr:txBody>
    </xdr:sp>
    <xdr:clientData/>
  </xdr:twoCellAnchor>
  <xdr:twoCellAnchor>
    <xdr:from>
      <xdr:col>12</xdr:col>
      <xdr:colOff>31750</xdr:colOff>
      <xdr:row>15</xdr:row>
      <xdr:rowOff>101600</xdr:rowOff>
    </xdr:from>
    <xdr:to>
      <xdr:col>14</xdr:col>
      <xdr:colOff>552450</xdr:colOff>
      <xdr:row>19</xdr:row>
      <xdr:rowOff>76200</xdr:rowOff>
    </xdr:to>
    <xdr:sp macro="[0]!Save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28D513-A74F-4DC2-A507-8DD1995CCCA6}"/>
            </a:ext>
          </a:extLst>
        </xdr:cNvPr>
        <xdr:cNvSpPr/>
      </xdr:nvSpPr>
      <xdr:spPr>
        <a:xfrm>
          <a:off x="7048500" y="2559050"/>
          <a:ext cx="167640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600"/>
            <a:t>Save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A1:C112" totalsRowShown="0" headerRowDxfId="11" dataDxfId="9" headerRowBorderDxfId="10" tableBorderDxfId="8">
  <autoFilter ref="A1:C112" xr:uid="{00000000-0009-0000-0100-000002000000}"/>
  <sortState xmlns:xlrd2="http://schemas.microsoft.com/office/spreadsheetml/2017/richdata2" ref="A2:C112">
    <sortCondition ref="B1:B112"/>
  </sortState>
  <tableColumns count="3">
    <tableColumn id="1" xr3:uid="{00000000-0010-0000-0000-000001000000}" name="Party Name" dataDxfId="7"/>
    <tableColumn id="2" xr3:uid="{00000000-0010-0000-0000-000002000000}" name="Add" dataDxfId="6"/>
    <tableColumn id="3" xr3:uid="{00000000-0010-0000-0000-000003000000}" name="GST No." dataDxfId="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:B24" totalsRowShown="0" headerRowDxfId="4" headerRowBorderDxfId="3" tableBorderDxfId="2">
  <autoFilter ref="A1:B24" xr:uid="{00000000-0009-0000-0100-000003000000}"/>
  <sortState xmlns:xlrd2="http://schemas.microsoft.com/office/spreadsheetml/2017/richdata2" ref="A2:B24">
    <sortCondition ref="A1:A24"/>
  </sortState>
  <tableColumns count="2">
    <tableColumn id="1" xr3:uid="{00000000-0010-0000-0100-000001000000}" name="Product list" dataDxfId="1"/>
    <tableColumn id="2" xr3:uid="{00000000-0010-0000-0100-000002000000}" name="HSN. 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J1003"/>
  <sheetViews>
    <sheetView tabSelected="1" view="pageBreakPreview" topLeftCell="A27" zoomScaleNormal="70" zoomScaleSheetLayoutView="100" zoomScalePageLayoutView="70" workbookViewId="0">
      <selection activeCell="L37" sqref="L37"/>
    </sheetView>
  </sheetViews>
  <sheetFormatPr defaultColWidth="12.58203125" defaultRowHeight="15" customHeight="1" x14ac:dyDescent="0.35"/>
  <cols>
    <col min="1" max="1" width="5.08203125" style="24" customWidth="1"/>
    <col min="2" max="2" width="5.9140625" style="24" customWidth="1"/>
    <col min="3" max="3" width="9.58203125" style="24" customWidth="1"/>
    <col min="4" max="4" width="8.83203125" style="24" customWidth="1"/>
    <col min="5" max="5" width="12.58203125" style="24"/>
    <col min="6" max="6" width="12.58203125" style="24" customWidth="1"/>
    <col min="7" max="7" width="9.58203125" style="24" customWidth="1"/>
    <col min="8" max="8" width="9.75" style="24" customWidth="1"/>
    <col min="9" max="9" width="4.75" style="24" customWidth="1"/>
    <col min="10" max="10" width="8.75" style="24" customWidth="1"/>
    <col min="11" max="11" width="4.58203125" style="24" customWidth="1"/>
    <col min="12" max="14" width="7.58203125" style="24" customWidth="1"/>
    <col min="15" max="15" width="10.58203125" style="24" customWidth="1"/>
    <col min="16" max="16" width="9.25" style="24" customWidth="1"/>
    <col min="17" max="17" width="9" style="24" customWidth="1"/>
    <col min="18" max="18" width="9.08203125" style="24" customWidth="1"/>
    <col min="19" max="19" width="6.33203125" style="24" customWidth="1"/>
    <col min="20" max="20" width="5.33203125" style="24" customWidth="1"/>
    <col min="21" max="36" width="7.58203125" style="24" customWidth="1"/>
    <col min="37" max="16384" width="12.58203125" style="24"/>
  </cols>
  <sheetData>
    <row r="2" spans="1:26" ht="15" customHeight="1" x14ac:dyDescent="0.35">
      <c r="H2" s="25"/>
      <c r="N2" s="24" t="s">
        <v>262</v>
      </c>
    </row>
    <row r="3" spans="1:26" ht="14.25" customHeight="1" x14ac:dyDescent="0.35">
      <c r="A3" s="26" t="s">
        <v>0</v>
      </c>
      <c r="B3" s="27"/>
      <c r="C3" s="27"/>
      <c r="D3" s="27"/>
      <c r="E3" s="27"/>
      <c r="F3" s="27"/>
      <c r="G3" s="27"/>
      <c r="H3" s="27"/>
      <c r="I3" s="27"/>
      <c r="J3" s="28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ht="14.25" customHeight="1" x14ac:dyDescent="0.35">
      <c r="A4" s="30"/>
      <c r="B4" s="31"/>
      <c r="C4" s="31"/>
      <c r="D4" s="31"/>
      <c r="E4" s="31"/>
      <c r="F4" s="31"/>
      <c r="G4" s="31"/>
      <c r="H4" s="31"/>
      <c r="I4" s="31"/>
      <c r="J4" s="32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35">
      <c r="A5" s="33" t="s">
        <v>346</v>
      </c>
      <c r="B5" s="34"/>
      <c r="C5" s="34"/>
      <c r="D5" s="34"/>
      <c r="E5" s="34"/>
      <c r="F5" s="34"/>
      <c r="G5" s="34"/>
      <c r="H5" s="34"/>
      <c r="I5" s="34"/>
      <c r="J5" s="35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35">
      <c r="A6" s="36" t="s">
        <v>258</v>
      </c>
      <c r="B6" s="37"/>
      <c r="C6" s="37"/>
      <c r="D6" s="37"/>
      <c r="E6" s="37"/>
      <c r="F6" s="37"/>
      <c r="G6" s="34"/>
      <c r="H6" s="34"/>
      <c r="I6" s="34"/>
      <c r="J6" s="35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35">
      <c r="A7" s="36" t="s">
        <v>347</v>
      </c>
      <c r="B7" s="38"/>
      <c r="C7" s="38"/>
      <c r="D7" s="38"/>
      <c r="E7" s="38"/>
      <c r="F7" s="38"/>
      <c r="G7" s="38"/>
      <c r="H7" s="38"/>
      <c r="I7" s="39"/>
      <c r="J7" s="35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4.25" customHeight="1" x14ac:dyDescent="0.35">
      <c r="A8" s="40"/>
      <c r="B8" s="41"/>
      <c r="C8" s="41"/>
      <c r="D8" s="41"/>
      <c r="E8" s="41"/>
      <c r="F8" s="41"/>
      <c r="G8" s="41"/>
      <c r="H8" s="41"/>
      <c r="I8" s="41"/>
      <c r="J8" s="42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4.25" customHeight="1" x14ac:dyDescent="0.35">
      <c r="A9" s="43" t="s">
        <v>1</v>
      </c>
      <c r="B9" s="43"/>
      <c r="C9" s="43"/>
      <c r="D9" s="43"/>
      <c r="E9" s="43"/>
      <c r="F9" s="43"/>
      <c r="G9" s="43"/>
      <c r="H9" s="43"/>
      <c r="I9" s="43"/>
      <c r="J9" s="43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14.25" customHeight="1" x14ac:dyDescent="0.3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4.25" customHeight="1" x14ac:dyDescent="0.35">
      <c r="A11" s="44" t="s">
        <v>2</v>
      </c>
      <c r="B11" s="45"/>
      <c r="C11" s="46"/>
      <c r="D11" s="46"/>
      <c r="E11" s="46"/>
      <c r="F11" s="46"/>
      <c r="G11" s="46"/>
      <c r="H11" s="44" t="s">
        <v>3</v>
      </c>
      <c r="I11" s="168">
        <v>37</v>
      </c>
      <c r="J11" s="47" t="s">
        <v>351</v>
      </c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4.25" customHeight="1" x14ac:dyDescent="0.35">
      <c r="A12" s="48" t="s">
        <v>4</v>
      </c>
      <c r="B12" s="49" t="str">
        <f>IFERROR(VLOOKUP(B11,Sheet2!A2:C300,2,0),"")</f>
        <v/>
      </c>
      <c r="C12" s="49"/>
      <c r="D12" s="49"/>
      <c r="E12" s="49"/>
      <c r="F12" s="49"/>
      <c r="G12" s="49"/>
      <c r="H12" s="44" t="s">
        <v>5</v>
      </c>
      <c r="I12" s="167">
        <v>37</v>
      </c>
      <c r="J12" s="23" t="s">
        <v>351</v>
      </c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14.25" customHeight="1" x14ac:dyDescent="0.35">
      <c r="A13" s="50"/>
      <c r="B13" s="49"/>
      <c r="C13" s="49"/>
      <c r="D13" s="49"/>
      <c r="E13" s="51"/>
      <c r="F13" s="49"/>
      <c r="G13" s="49"/>
      <c r="H13" s="44" t="s">
        <v>6</v>
      </c>
      <c r="I13" s="52">
        <v>45180</v>
      </c>
      <c r="J13" s="53"/>
      <c r="K13" s="29"/>
      <c r="L13" s="29"/>
      <c r="M13" s="54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4.25" customHeight="1" x14ac:dyDescent="0.35">
      <c r="A14" s="55" t="s">
        <v>256</v>
      </c>
      <c r="B14" s="55"/>
      <c r="C14" s="56" t="str">
        <f>IFERROR(VLOOKUP(B11,Sheet2!A2:C300,3,0),"")</f>
        <v/>
      </c>
      <c r="D14" s="57"/>
      <c r="E14" s="58" t="s">
        <v>350</v>
      </c>
      <c r="F14" s="59"/>
      <c r="G14" s="60"/>
      <c r="H14" s="44" t="s">
        <v>55</v>
      </c>
      <c r="I14" s="165" t="s">
        <v>20</v>
      </c>
      <c r="J14" s="166"/>
      <c r="K14" s="29"/>
      <c r="L14" s="29"/>
      <c r="M14" s="61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25.5" customHeight="1" x14ac:dyDescent="0.35">
      <c r="A15" s="62" t="s">
        <v>7</v>
      </c>
      <c r="B15" s="63" t="s">
        <v>8</v>
      </c>
      <c r="C15" s="63"/>
      <c r="D15" s="63"/>
      <c r="E15" s="64"/>
      <c r="F15" s="65" t="s">
        <v>9</v>
      </c>
      <c r="G15" s="66" t="s">
        <v>10</v>
      </c>
      <c r="H15" s="66" t="s">
        <v>11</v>
      </c>
      <c r="I15" s="63" t="s">
        <v>12</v>
      </c>
      <c r="J15" s="63"/>
      <c r="K15" s="29"/>
      <c r="L15" s="29"/>
      <c r="M15" s="67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14.25" customHeight="1" x14ac:dyDescent="0.35">
      <c r="A16" s="68">
        <v>1</v>
      </c>
      <c r="B16" s="69"/>
      <c r="C16" s="70"/>
      <c r="D16" s="70"/>
      <c r="E16" s="70"/>
      <c r="F16" s="71" t="str">
        <f>IFERROR(VLOOKUP(B16,Table2[],2,0),"")</f>
        <v/>
      </c>
      <c r="G16" s="72"/>
      <c r="H16" s="73"/>
      <c r="I16" s="74" t="str">
        <f>IF(ISBLANK(G16),"",G16*H16)</f>
        <v/>
      </c>
      <c r="J16" s="75"/>
      <c r="K16" s="29"/>
      <c r="L16" s="29"/>
      <c r="M16" s="76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4.25" customHeight="1" x14ac:dyDescent="0.35">
      <c r="A17" s="77">
        <v>2</v>
      </c>
      <c r="B17" s="78"/>
      <c r="C17" s="79"/>
      <c r="D17" s="79"/>
      <c r="E17" s="79"/>
      <c r="F17" s="80" t="str">
        <f>IFERROR(VLOOKUP(B17,Table2[],2,0),"")</f>
        <v/>
      </c>
      <c r="G17" s="81"/>
      <c r="H17" s="82"/>
      <c r="I17" s="83" t="str">
        <f>IF(ISBLANK(G17),"",G17*H17)</f>
        <v/>
      </c>
      <c r="J17" s="84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4.25" customHeight="1" x14ac:dyDescent="0.35">
      <c r="A18" s="77">
        <v>3</v>
      </c>
      <c r="B18" s="78"/>
      <c r="C18" s="79"/>
      <c r="D18" s="79"/>
      <c r="E18" s="79"/>
      <c r="F18" s="80" t="str">
        <f>IFERROR(VLOOKUP(B18,Table2[],2,0),"")</f>
        <v/>
      </c>
      <c r="G18" s="81"/>
      <c r="H18" s="82"/>
      <c r="I18" s="83" t="str">
        <f t="shared" ref="I18:I30" si="0">IF(ISBLANK(G18),"",G18*H18)</f>
        <v/>
      </c>
      <c r="J18" s="84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4.25" customHeight="1" x14ac:dyDescent="0.35">
      <c r="A19" s="77">
        <v>4</v>
      </c>
      <c r="B19" s="78"/>
      <c r="C19" s="79"/>
      <c r="D19" s="79"/>
      <c r="E19" s="79"/>
      <c r="F19" s="80" t="str">
        <f>IFERROR(VLOOKUP(B19,Table2[],2,0),"")</f>
        <v/>
      </c>
      <c r="G19" s="81"/>
      <c r="H19" s="82"/>
      <c r="I19" s="83" t="str">
        <f>IF(ISBLANK(G19),"",G19*H19)</f>
        <v/>
      </c>
      <c r="J19" s="84"/>
      <c r="K19" s="29"/>
      <c r="L19" s="29"/>
      <c r="M19" s="85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4.25" customHeight="1" x14ac:dyDescent="0.35">
      <c r="A20" s="77">
        <v>5</v>
      </c>
      <c r="B20" s="78"/>
      <c r="C20" s="79"/>
      <c r="D20" s="79"/>
      <c r="E20" s="79"/>
      <c r="F20" s="80" t="str">
        <f>IFERROR(VLOOKUP(B20,Table2[],2,0),"")</f>
        <v/>
      </c>
      <c r="G20" s="81"/>
      <c r="H20" s="82"/>
      <c r="I20" s="83" t="str">
        <f t="shared" si="0"/>
        <v/>
      </c>
      <c r="J20" s="84"/>
      <c r="K20" s="29"/>
      <c r="L20" s="29"/>
      <c r="M20" s="54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4.25" customHeight="1" x14ac:dyDescent="0.35">
      <c r="A21" s="77">
        <v>6</v>
      </c>
      <c r="B21" s="78"/>
      <c r="C21" s="79"/>
      <c r="D21" s="79"/>
      <c r="E21" s="79"/>
      <c r="F21" s="80" t="str">
        <f>IFERROR(VLOOKUP(B21,Table2[],2,0),"")</f>
        <v/>
      </c>
      <c r="G21" s="81"/>
      <c r="H21" s="82"/>
      <c r="I21" s="83" t="str">
        <f t="shared" si="0"/>
        <v/>
      </c>
      <c r="J21" s="84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4.25" customHeight="1" x14ac:dyDescent="0.35">
      <c r="A22" s="77">
        <v>7</v>
      </c>
      <c r="B22" s="86"/>
      <c r="C22" s="79"/>
      <c r="D22" s="79"/>
      <c r="E22" s="87"/>
      <c r="F22" s="80" t="str">
        <f>IFERROR(VLOOKUP(B22,Table2[],2,0),"")</f>
        <v/>
      </c>
      <c r="G22" s="81"/>
      <c r="H22" s="82"/>
      <c r="I22" s="83" t="str">
        <f t="shared" si="0"/>
        <v/>
      </c>
      <c r="J22" s="84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4.25" customHeight="1" x14ac:dyDescent="0.35">
      <c r="A23" s="77">
        <v>8</v>
      </c>
      <c r="B23" s="86"/>
      <c r="C23" s="79"/>
      <c r="D23" s="79"/>
      <c r="E23" s="87"/>
      <c r="F23" s="80" t="str">
        <f>IFERROR(VLOOKUP(B23,Table2[],2,0),"")</f>
        <v/>
      </c>
      <c r="G23" s="81"/>
      <c r="H23" s="82"/>
      <c r="I23" s="83" t="str">
        <f t="shared" si="0"/>
        <v/>
      </c>
      <c r="J23" s="84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4.25" customHeight="1" x14ac:dyDescent="0.35">
      <c r="A24" s="77">
        <v>9</v>
      </c>
      <c r="B24" s="78"/>
      <c r="C24" s="79"/>
      <c r="D24" s="79"/>
      <c r="E24" s="79"/>
      <c r="F24" s="80" t="str">
        <f>IFERROR(VLOOKUP(B24,Table2[],2,0),"")</f>
        <v/>
      </c>
      <c r="G24" s="81"/>
      <c r="H24" s="82"/>
      <c r="I24" s="83" t="str">
        <f t="shared" si="0"/>
        <v/>
      </c>
      <c r="J24" s="84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4.25" customHeight="1" x14ac:dyDescent="0.35">
      <c r="A25" s="77">
        <v>10</v>
      </c>
      <c r="B25" s="78"/>
      <c r="C25" s="79"/>
      <c r="D25" s="79"/>
      <c r="E25" s="79"/>
      <c r="F25" s="80" t="str">
        <f>IFERROR(VLOOKUP(B25,Table2[],2,0),"")</f>
        <v/>
      </c>
      <c r="G25" s="81"/>
      <c r="H25" s="82"/>
      <c r="I25" s="88"/>
      <c r="J25" s="8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4.25" customHeight="1" x14ac:dyDescent="0.35">
      <c r="A26" s="77">
        <v>11</v>
      </c>
      <c r="B26" s="78"/>
      <c r="C26" s="79"/>
      <c r="D26" s="79"/>
      <c r="E26" s="79"/>
      <c r="F26" s="80" t="str">
        <f>IFERROR(VLOOKUP(B26,Table2[],2,0),"")</f>
        <v/>
      </c>
      <c r="G26" s="81"/>
      <c r="H26" s="82"/>
      <c r="I26" s="83" t="str">
        <f t="shared" si="0"/>
        <v/>
      </c>
      <c r="J26" s="84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ht="14.25" customHeight="1" x14ac:dyDescent="0.35">
      <c r="A27" s="90">
        <v>12</v>
      </c>
      <c r="B27" s="86"/>
      <c r="C27" s="79"/>
      <c r="D27" s="79"/>
      <c r="E27" s="87"/>
      <c r="F27" s="91" t="str">
        <f>IFERROR(VLOOKUP(B27,Table2[],2,0),"")</f>
        <v/>
      </c>
      <c r="G27" s="81"/>
      <c r="H27" s="82"/>
      <c r="I27" s="83" t="str">
        <f t="shared" si="0"/>
        <v/>
      </c>
      <c r="J27" s="84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ht="14.25" customHeight="1" x14ac:dyDescent="0.35">
      <c r="A28" s="90">
        <v>13</v>
      </c>
      <c r="B28" s="86"/>
      <c r="C28" s="79"/>
      <c r="D28" s="79"/>
      <c r="E28" s="87"/>
      <c r="F28" s="91" t="str">
        <f>IFERROR(VLOOKUP(B28,Table2[],2,0),"")</f>
        <v/>
      </c>
      <c r="G28" s="81"/>
      <c r="H28" s="82"/>
      <c r="I28" s="83" t="str">
        <f t="shared" si="0"/>
        <v/>
      </c>
      <c r="J28" s="84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4.25" customHeight="1" x14ac:dyDescent="0.35">
      <c r="A29" s="77">
        <v>14</v>
      </c>
      <c r="B29" s="86"/>
      <c r="C29" s="79"/>
      <c r="D29" s="79"/>
      <c r="E29" s="87"/>
      <c r="F29" s="91" t="str">
        <f>IFERROR(VLOOKUP(B29,Table2[],2,0),"")</f>
        <v/>
      </c>
      <c r="G29" s="81"/>
      <c r="H29" s="82"/>
      <c r="I29" s="92" t="str">
        <f t="shared" si="0"/>
        <v/>
      </c>
      <c r="J29" s="84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ht="14.25" customHeight="1" x14ac:dyDescent="0.35">
      <c r="A30" s="90">
        <v>15</v>
      </c>
      <c r="B30" s="86"/>
      <c r="C30" s="79"/>
      <c r="D30" s="79"/>
      <c r="E30" s="87"/>
      <c r="F30" s="91" t="str">
        <f>IFERROR(VLOOKUP(B30,Table2[],2,0),"")</f>
        <v/>
      </c>
      <c r="G30" s="81"/>
      <c r="H30" s="82"/>
      <c r="I30" s="92" t="str">
        <f t="shared" si="0"/>
        <v/>
      </c>
      <c r="J30" s="84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ht="14.25" customHeight="1" x14ac:dyDescent="0.35">
      <c r="A31" s="93"/>
      <c r="B31" s="94"/>
      <c r="C31" s="95"/>
      <c r="D31" s="95"/>
      <c r="E31" s="96"/>
      <c r="F31" s="97"/>
      <c r="G31" s="98"/>
      <c r="H31" s="99"/>
      <c r="I31" s="100"/>
      <c r="J31" s="101"/>
      <c r="K31" s="29"/>
      <c r="L31" s="29"/>
      <c r="M31" s="29"/>
      <c r="N31" s="29"/>
      <c r="O31" s="29"/>
      <c r="P31" s="29"/>
      <c r="Q31" s="29"/>
      <c r="U31" s="29"/>
      <c r="V31" s="29"/>
      <c r="W31" s="29"/>
      <c r="X31" s="29"/>
      <c r="Y31" s="29"/>
      <c r="Z31" s="29"/>
    </row>
    <row r="32" spans="1:26" ht="14.25" customHeight="1" x14ac:dyDescent="0.35">
      <c r="A32" s="102"/>
      <c r="B32" s="94"/>
      <c r="C32" s="95"/>
      <c r="D32" s="95"/>
      <c r="E32" s="96"/>
      <c r="F32" s="97"/>
      <c r="G32" s="98"/>
      <c r="H32" s="99"/>
      <c r="I32" s="100"/>
      <c r="J32" s="101"/>
      <c r="K32" s="29"/>
      <c r="L32" s="29"/>
      <c r="M32" s="29"/>
      <c r="N32" s="29"/>
      <c r="O32" s="29"/>
      <c r="P32" s="29"/>
      <c r="Q32" s="29"/>
      <c r="U32" s="29"/>
      <c r="V32" s="29"/>
      <c r="W32" s="29"/>
      <c r="X32" s="29"/>
      <c r="Y32" s="29"/>
      <c r="Z32" s="29"/>
    </row>
    <row r="33" spans="1:26" ht="14.25" customHeight="1" x14ac:dyDescent="0.35">
      <c r="A33" s="93"/>
      <c r="B33" s="103"/>
      <c r="C33" s="104"/>
      <c r="D33" s="104"/>
      <c r="E33" s="105"/>
      <c r="F33" s="106"/>
      <c r="G33" s="107"/>
      <c r="H33" s="108"/>
      <c r="I33" s="109"/>
      <c r="J33" s="110"/>
      <c r="K33" s="29"/>
      <c r="L33" s="29"/>
      <c r="M33" s="29"/>
      <c r="N33" s="29"/>
      <c r="O33" s="29"/>
      <c r="P33" s="29"/>
      <c r="Q33" s="29"/>
      <c r="S33" s="29"/>
      <c r="U33" s="29"/>
      <c r="V33" s="29"/>
      <c r="W33" s="29"/>
      <c r="X33" s="29"/>
      <c r="Y33" s="29"/>
      <c r="Z33" s="29"/>
    </row>
    <row r="34" spans="1:26" ht="14.25" customHeight="1" x14ac:dyDescent="0.35">
      <c r="A34" s="108"/>
      <c r="B34" s="111"/>
      <c r="C34" s="111"/>
      <c r="D34" s="111"/>
      <c r="E34" s="112"/>
      <c r="F34" s="113" t="s">
        <v>24</v>
      </c>
      <c r="G34" s="114">
        <f>SUM(G16:G33)</f>
        <v>0</v>
      </c>
      <c r="H34" s="115" t="s">
        <v>14</v>
      </c>
      <c r="I34" s="116">
        <f>SUM(I16:J33)</f>
        <v>0</v>
      </c>
      <c r="J34" s="116"/>
      <c r="K34" s="29"/>
      <c r="L34" s="29"/>
      <c r="M34" s="29"/>
      <c r="N34" s="29"/>
      <c r="O34" s="29"/>
      <c r="P34" s="29"/>
      <c r="Q34" s="29"/>
      <c r="U34" s="29"/>
      <c r="V34" s="29"/>
      <c r="W34" s="29"/>
      <c r="X34" s="29"/>
      <c r="Y34" s="29"/>
      <c r="Z34" s="29"/>
    </row>
    <row r="35" spans="1:26" ht="18.649999999999999" customHeight="1" x14ac:dyDescent="0.35">
      <c r="A35" s="117" t="s">
        <v>13</v>
      </c>
      <c r="B35" s="118"/>
      <c r="C35" s="118"/>
      <c r="D35" s="118"/>
      <c r="E35" s="118"/>
      <c r="F35" s="118"/>
      <c r="G35" s="118"/>
      <c r="H35" s="44" t="s">
        <v>21</v>
      </c>
      <c r="I35" s="119">
        <f>IF(I14="State",I34*9%,"0")</f>
        <v>0</v>
      </c>
      <c r="J35" s="119"/>
      <c r="K35" s="29"/>
      <c r="L35" s="29"/>
      <c r="M35" s="29"/>
      <c r="N35" s="29"/>
      <c r="O35" s="29"/>
      <c r="P35" s="29"/>
      <c r="Q35" s="29"/>
      <c r="U35" s="29"/>
      <c r="V35" s="29"/>
      <c r="W35" s="29"/>
      <c r="X35" s="29"/>
      <c r="Y35" s="29"/>
      <c r="Z35" s="29"/>
    </row>
    <row r="36" spans="1:26" ht="14.25" customHeight="1" x14ac:dyDescent="0.35">
      <c r="A36" s="120">
        <f>SpellNumber(I39)</f>
        <v>0</v>
      </c>
      <c r="B36" s="120"/>
      <c r="C36" s="120"/>
      <c r="D36" s="120"/>
      <c r="E36" s="120"/>
      <c r="F36" s="120"/>
      <c r="G36" s="120"/>
      <c r="H36" s="44" t="s">
        <v>22</v>
      </c>
      <c r="I36" s="119">
        <f>IF(I14="State",I34*9%,"0")</f>
        <v>0</v>
      </c>
      <c r="J36" s="119"/>
      <c r="K36" s="29"/>
      <c r="L36" s="29"/>
      <c r="M36" s="29"/>
      <c r="N36" s="29"/>
      <c r="O36" s="29"/>
      <c r="P36" s="29"/>
      <c r="Q36" s="29"/>
      <c r="U36" s="29"/>
      <c r="V36" s="29"/>
      <c r="W36" s="29"/>
      <c r="X36" s="29"/>
      <c r="Y36" s="29"/>
      <c r="Z36" s="29"/>
    </row>
    <row r="37" spans="1:26" ht="14.25" customHeight="1" x14ac:dyDescent="0.35">
      <c r="A37" s="120"/>
      <c r="B37" s="120"/>
      <c r="C37" s="120"/>
      <c r="D37" s="120"/>
      <c r="E37" s="120"/>
      <c r="F37" s="120"/>
      <c r="G37" s="120"/>
      <c r="H37" s="44" t="s">
        <v>23</v>
      </c>
      <c r="I37" s="119" t="str">
        <f>IF(I14="InterState",I34*18%,"0")</f>
        <v>0</v>
      </c>
      <c r="J37" s="119"/>
      <c r="K37" s="29"/>
      <c r="L37" s="29"/>
      <c r="M37" s="29"/>
      <c r="N37" s="29"/>
      <c r="O37" s="29"/>
      <c r="P37" s="29"/>
      <c r="Q37" s="121"/>
      <c r="R37" s="121"/>
      <c r="S37" s="121"/>
      <c r="T37" s="121"/>
      <c r="U37" s="121"/>
      <c r="V37" s="121"/>
      <c r="W37" s="29"/>
      <c r="X37" s="29"/>
      <c r="Y37" s="29"/>
      <c r="Z37" s="29"/>
    </row>
    <row r="38" spans="1:26" ht="14.25" customHeight="1" x14ac:dyDescent="0.35">
      <c r="A38" s="122" t="s">
        <v>54</v>
      </c>
      <c r="B38" s="123"/>
      <c r="C38" s="123"/>
      <c r="D38" s="123"/>
      <c r="E38" s="123"/>
      <c r="F38" s="123"/>
      <c r="G38" s="123"/>
      <c r="H38" s="44" t="s">
        <v>15</v>
      </c>
      <c r="I38" s="116">
        <f>ROUND(SUM(I34:J37),0)-SUM(I34:J37)</f>
        <v>0</v>
      </c>
      <c r="J38" s="124"/>
      <c r="K38" s="29"/>
      <c r="L38" s="29"/>
      <c r="M38" s="29"/>
      <c r="N38" s="29"/>
      <c r="O38" s="29"/>
      <c r="P38" s="29"/>
      <c r="Q38" s="121"/>
      <c r="R38" s="121"/>
      <c r="S38" s="121"/>
      <c r="T38" s="121"/>
      <c r="U38" s="121"/>
      <c r="V38" s="121"/>
      <c r="W38" s="29"/>
      <c r="X38" s="29"/>
      <c r="Y38" s="29"/>
      <c r="Z38" s="29"/>
    </row>
    <row r="39" spans="1:26" ht="11.5" customHeight="1" x14ac:dyDescent="0.35">
      <c r="A39" s="123"/>
      <c r="B39" s="123"/>
      <c r="C39" s="123"/>
      <c r="D39" s="123"/>
      <c r="E39" s="123"/>
      <c r="F39" s="123"/>
      <c r="G39" s="123"/>
      <c r="H39" s="44" t="s">
        <v>16</v>
      </c>
      <c r="I39" s="116">
        <f>SUM(I34:J38)</f>
        <v>0</v>
      </c>
      <c r="J39" s="124"/>
      <c r="K39" s="29"/>
      <c r="L39" s="29"/>
      <c r="M39" s="29"/>
      <c r="N39" s="125"/>
      <c r="O39" s="29"/>
      <c r="P39" s="29"/>
      <c r="Q39" s="121"/>
      <c r="R39" s="121"/>
      <c r="S39" s="121"/>
      <c r="T39" s="121"/>
      <c r="U39" s="121"/>
      <c r="V39" s="121"/>
      <c r="W39" s="29"/>
      <c r="X39" s="29"/>
      <c r="Y39" s="29"/>
      <c r="Z39" s="29"/>
    </row>
    <row r="40" spans="1:26" ht="14.25" customHeight="1" x14ac:dyDescent="0.35">
      <c r="A40" s="133" t="s">
        <v>259</v>
      </c>
      <c r="B40" s="134"/>
      <c r="C40" s="134"/>
      <c r="D40" s="135"/>
      <c r="E40" s="126"/>
      <c r="F40" s="127"/>
      <c r="G40" s="128"/>
      <c r="H40" s="129" t="s">
        <v>349</v>
      </c>
      <c r="I40" s="130"/>
      <c r="J40" s="131"/>
      <c r="K40" s="29"/>
      <c r="L40" s="29"/>
      <c r="M40" s="29"/>
      <c r="N40" s="125"/>
      <c r="O40" s="29"/>
      <c r="P40" s="29"/>
      <c r="Q40" s="132"/>
      <c r="R40" s="132"/>
      <c r="S40" s="132"/>
      <c r="T40" s="132"/>
      <c r="U40" s="132"/>
      <c r="V40" s="132"/>
      <c r="W40" s="29"/>
      <c r="X40" s="29"/>
      <c r="Y40" s="29"/>
      <c r="Z40" s="29"/>
    </row>
    <row r="41" spans="1:26" ht="14.25" customHeight="1" x14ac:dyDescent="0.35">
      <c r="A41" s="133" t="s">
        <v>260</v>
      </c>
      <c r="B41" s="134"/>
      <c r="C41" s="134"/>
      <c r="D41" s="135"/>
      <c r="E41" s="136"/>
      <c r="F41" s="137"/>
      <c r="G41" s="138"/>
      <c r="H41" s="139"/>
      <c r="I41" s="140"/>
      <c r="J41" s="141"/>
      <c r="K41" s="29"/>
      <c r="P41" s="29"/>
      <c r="Q41" s="132"/>
      <c r="R41" s="132"/>
      <c r="S41" s="132"/>
      <c r="T41" s="132"/>
      <c r="U41" s="132"/>
      <c r="V41" s="132"/>
      <c r="W41" s="29"/>
      <c r="X41" s="29"/>
      <c r="Y41" s="29"/>
      <c r="Z41" s="29"/>
    </row>
    <row r="42" spans="1:26" ht="14.25" customHeight="1" x14ac:dyDescent="0.35">
      <c r="A42" s="142" t="s">
        <v>348</v>
      </c>
      <c r="B42" s="143"/>
      <c r="C42" s="143"/>
      <c r="D42" s="144"/>
      <c r="E42" s="126"/>
      <c r="F42" s="127"/>
      <c r="G42" s="128"/>
      <c r="H42" s="139"/>
      <c r="I42" s="140"/>
      <c r="J42" s="141"/>
      <c r="K42" s="29"/>
      <c r="L42" s="29"/>
      <c r="M42" s="29"/>
      <c r="N42" s="145"/>
      <c r="O42" s="29"/>
      <c r="P42" s="29"/>
      <c r="Q42" s="146"/>
      <c r="R42" s="146"/>
      <c r="S42" s="146"/>
      <c r="T42" s="146"/>
      <c r="W42" s="29"/>
      <c r="X42" s="29"/>
      <c r="Y42" s="29"/>
      <c r="Z42" s="29"/>
    </row>
    <row r="43" spans="1:26" ht="14.25" customHeight="1" x14ac:dyDescent="0.35">
      <c r="A43" s="133" t="s">
        <v>261</v>
      </c>
      <c r="B43" s="134"/>
      <c r="C43" s="134"/>
      <c r="D43" s="147"/>
      <c r="E43" s="126"/>
      <c r="F43" s="127"/>
      <c r="G43" s="128"/>
      <c r="H43" s="139"/>
      <c r="I43" s="140"/>
      <c r="J43" s="141"/>
      <c r="K43" s="29"/>
      <c r="L43" s="29"/>
      <c r="M43" s="29"/>
      <c r="N43" s="145"/>
      <c r="O43" s="29"/>
      <c r="P43" s="29"/>
      <c r="Q43" s="146"/>
      <c r="R43" s="146"/>
      <c r="S43" s="146"/>
      <c r="T43" s="146"/>
      <c r="W43" s="29"/>
      <c r="X43" s="29"/>
      <c r="Y43" s="29"/>
      <c r="Z43" s="29"/>
    </row>
    <row r="44" spans="1:26" ht="14.25" customHeight="1" x14ac:dyDescent="0.35">
      <c r="A44" s="148"/>
      <c r="B44" s="149"/>
      <c r="C44" s="149"/>
      <c r="D44" s="150"/>
      <c r="E44" s="149" t="s">
        <v>25</v>
      </c>
      <c r="F44" s="149"/>
      <c r="G44" s="151"/>
      <c r="H44" s="139"/>
      <c r="I44" s="140"/>
      <c r="J44" s="141"/>
      <c r="K44" s="29"/>
      <c r="L44" s="29"/>
      <c r="M44" s="29"/>
      <c r="N44" s="152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ht="14.25" customHeight="1" x14ac:dyDescent="0.35">
      <c r="A45" s="170" t="s">
        <v>390</v>
      </c>
      <c r="B45" s="171"/>
      <c r="C45" s="153" t="s">
        <v>387</v>
      </c>
      <c r="D45" s="172"/>
      <c r="E45" s="134" t="s">
        <v>389</v>
      </c>
      <c r="F45" s="134"/>
      <c r="G45" s="135"/>
      <c r="H45" s="139"/>
      <c r="I45" s="140"/>
      <c r="J45" s="141"/>
      <c r="K45" s="29"/>
      <c r="L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ht="14.25" customHeight="1" x14ac:dyDescent="0.35">
      <c r="A46" s="170" t="s">
        <v>391</v>
      </c>
      <c r="B46" s="171"/>
      <c r="C46" s="156" t="s">
        <v>388</v>
      </c>
      <c r="D46" s="157"/>
      <c r="E46" s="134" t="s">
        <v>17</v>
      </c>
      <c r="F46" s="134"/>
      <c r="G46" s="135"/>
      <c r="H46" s="158"/>
      <c r="I46" s="159"/>
      <c r="J46" s="160"/>
      <c r="K46" s="29"/>
      <c r="L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ht="14.25" customHeight="1" x14ac:dyDescent="0.35">
      <c r="A47" s="161"/>
      <c r="B47" s="154"/>
      <c r="C47" s="154"/>
      <c r="D47" s="155"/>
      <c r="E47" s="134" t="s">
        <v>18</v>
      </c>
      <c r="F47" s="134"/>
      <c r="G47" s="135"/>
      <c r="H47" s="162" t="s">
        <v>19</v>
      </c>
      <c r="I47" s="162"/>
      <c r="J47" s="162"/>
      <c r="K47" s="163"/>
      <c r="L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14.25" customHeight="1" x14ac:dyDescent="0.35">
      <c r="A48" s="164"/>
      <c r="B48" s="164"/>
      <c r="C48" s="164"/>
      <c r="D48" s="164"/>
      <c r="E48" s="164"/>
      <c r="F48" s="164"/>
      <c r="G48" s="164"/>
      <c r="H48" s="164"/>
      <c r="I48" s="164"/>
      <c r="J48" s="164"/>
      <c r="K48" s="29"/>
      <c r="L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36" ht="14.25" customHeight="1" x14ac:dyDescent="0.35">
      <c r="A49" s="164"/>
      <c r="B49" s="164"/>
      <c r="C49" s="164"/>
      <c r="D49" s="164"/>
      <c r="E49" s="164"/>
      <c r="F49" s="164"/>
      <c r="G49" s="164"/>
      <c r="H49" s="164"/>
      <c r="I49" s="164"/>
      <c r="J49" s="164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36" ht="14.25" customHeight="1" x14ac:dyDescent="0.35">
      <c r="A50" s="164"/>
      <c r="B50" s="164"/>
      <c r="C50" s="164"/>
      <c r="D50" s="164"/>
      <c r="E50" s="169"/>
      <c r="F50" s="164"/>
      <c r="G50" s="164"/>
      <c r="H50" s="164"/>
      <c r="I50" s="164"/>
      <c r="J50" s="164"/>
      <c r="K50" s="29"/>
      <c r="L50" s="29"/>
      <c r="M50" s="29"/>
      <c r="N50" s="29"/>
      <c r="O50" s="29"/>
      <c r="T50" s="29"/>
      <c r="U50" s="29"/>
      <c r="V50" s="29"/>
      <c r="W50" s="29"/>
      <c r="X50" s="29"/>
      <c r="Y50" s="29"/>
      <c r="Z50" s="29"/>
    </row>
    <row r="51" spans="1:36" ht="14.25" customHeight="1" x14ac:dyDescent="0.35"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V51" s="29"/>
      <c r="W51" s="29"/>
      <c r="X51" s="29"/>
      <c r="Y51" s="29"/>
      <c r="Z51" s="29"/>
      <c r="AA51" s="29"/>
      <c r="AB51" s="29"/>
    </row>
    <row r="52" spans="1:36" ht="14.25" customHeight="1" x14ac:dyDescent="0.35"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V52" s="29"/>
      <c r="W52" s="29"/>
      <c r="X52" s="29"/>
      <c r="Y52" s="29"/>
      <c r="Z52" s="29"/>
      <c r="AA52" s="29"/>
      <c r="AB52" s="29"/>
    </row>
    <row r="53" spans="1:36" ht="14.25" customHeight="1" x14ac:dyDescent="0.35"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</row>
    <row r="54" spans="1:36" ht="14.25" customHeight="1" x14ac:dyDescent="0.35"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</row>
    <row r="55" spans="1:36" ht="14.25" customHeight="1" x14ac:dyDescent="0.35"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</row>
    <row r="56" spans="1:36" ht="14.25" customHeight="1" x14ac:dyDescent="0.35"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</row>
    <row r="57" spans="1:36" ht="14.25" customHeight="1" x14ac:dyDescent="0.35"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</row>
    <row r="58" spans="1:36" ht="14.25" customHeight="1" x14ac:dyDescent="0.35"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</row>
    <row r="59" spans="1:36" ht="14.25" customHeight="1" x14ac:dyDescent="0.35"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</row>
    <row r="60" spans="1:36" ht="14.25" customHeight="1" x14ac:dyDescent="0.35"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</row>
    <row r="61" spans="1:36" ht="14.25" customHeight="1" x14ac:dyDescent="0.35"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</row>
    <row r="62" spans="1:36" ht="14.25" customHeight="1" x14ac:dyDescent="0.35"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</row>
    <row r="63" spans="1:36" ht="14.25" customHeight="1" x14ac:dyDescent="0.35"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</row>
    <row r="64" spans="1:36" ht="14.25" customHeight="1" x14ac:dyDescent="0.35"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</row>
    <row r="65" spans="11:36" ht="14.25" customHeight="1" x14ac:dyDescent="0.35"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</row>
    <row r="66" spans="11:36" ht="14.25" customHeight="1" x14ac:dyDescent="0.35"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</row>
    <row r="67" spans="11:36" ht="14.25" customHeight="1" x14ac:dyDescent="0.35"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</row>
    <row r="68" spans="11:36" ht="14.25" customHeight="1" x14ac:dyDescent="0.35"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</row>
    <row r="69" spans="11:36" ht="14.25" customHeight="1" x14ac:dyDescent="0.35"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</row>
    <row r="70" spans="11:36" ht="14.25" customHeight="1" x14ac:dyDescent="0.35"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</row>
    <row r="71" spans="11:36" ht="14.25" customHeight="1" x14ac:dyDescent="0.35"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</row>
    <row r="72" spans="11:36" ht="14.25" customHeight="1" x14ac:dyDescent="0.35"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</row>
    <row r="73" spans="11:36" ht="14.25" customHeight="1" x14ac:dyDescent="0.35"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</row>
    <row r="74" spans="11:36" ht="14.25" customHeight="1" x14ac:dyDescent="0.35"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</row>
    <row r="75" spans="11:36" ht="14.25" customHeight="1" x14ac:dyDescent="0.35"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</row>
    <row r="76" spans="11:36" ht="14.25" customHeight="1" x14ac:dyDescent="0.35"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</row>
    <row r="77" spans="11:36" ht="14.25" customHeight="1" x14ac:dyDescent="0.35"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</row>
    <row r="78" spans="11:36" ht="14.25" customHeight="1" x14ac:dyDescent="0.35"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</row>
    <row r="79" spans="11:36" ht="14.25" customHeight="1" x14ac:dyDescent="0.35"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</row>
    <row r="80" spans="11:36" ht="14.25" customHeight="1" x14ac:dyDescent="0.35"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</row>
    <row r="81" spans="11:36" ht="14.25" customHeight="1" x14ac:dyDescent="0.35"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</row>
    <row r="82" spans="11:36" ht="14.25" customHeight="1" x14ac:dyDescent="0.35"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</row>
    <row r="83" spans="11:36" ht="14.25" customHeight="1" x14ac:dyDescent="0.35"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</row>
    <row r="84" spans="11:36" ht="14.25" customHeight="1" x14ac:dyDescent="0.35"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</row>
    <row r="85" spans="11:36" ht="14.25" customHeight="1" x14ac:dyDescent="0.35"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</row>
    <row r="86" spans="11:36" ht="14.25" customHeight="1" x14ac:dyDescent="0.35"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</row>
    <row r="87" spans="11:36" ht="14.25" customHeight="1" x14ac:dyDescent="0.35"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</row>
    <row r="88" spans="11:36" ht="14.25" customHeight="1" x14ac:dyDescent="0.35"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</row>
    <row r="89" spans="11:36" ht="14.25" customHeight="1" x14ac:dyDescent="0.35"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</row>
    <row r="90" spans="11:36" ht="14.25" customHeight="1" x14ac:dyDescent="0.35"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</row>
    <row r="91" spans="11:36" ht="14.25" customHeight="1" x14ac:dyDescent="0.35"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</row>
    <row r="92" spans="11:36" ht="14.25" customHeight="1" x14ac:dyDescent="0.35"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</row>
    <row r="93" spans="11:36" ht="14.25" customHeight="1" x14ac:dyDescent="0.35"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</row>
    <row r="94" spans="11:36" ht="14.25" customHeight="1" x14ac:dyDescent="0.35"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</row>
    <row r="95" spans="11:36" ht="14.25" customHeight="1" x14ac:dyDescent="0.35"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</row>
    <row r="96" spans="11:36" ht="14.25" customHeight="1" x14ac:dyDescent="0.35"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</row>
    <row r="97" spans="11:36" ht="14.25" customHeight="1" x14ac:dyDescent="0.35"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</row>
    <row r="98" spans="11:36" ht="14.25" customHeight="1" x14ac:dyDescent="0.35"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</row>
    <row r="99" spans="11:36" ht="14.25" customHeight="1" x14ac:dyDescent="0.35"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</row>
    <row r="100" spans="11:36" ht="14.25" customHeight="1" x14ac:dyDescent="0.35"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</row>
    <row r="101" spans="11:36" ht="14.25" customHeight="1" x14ac:dyDescent="0.35"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</row>
    <row r="102" spans="11:36" ht="14.25" customHeight="1" x14ac:dyDescent="0.35"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</row>
    <row r="103" spans="11:36" ht="14.25" customHeight="1" x14ac:dyDescent="0.35"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</row>
    <row r="104" spans="11:36" ht="14.25" customHeight="1" x14ac:dyDescent="0.35"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</row>
    <row r="105" spans="11:36" ht="14.25" customHeight="1" x14ac:dyDescent="0.35"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</row>
    <row r="106" spans="11:36" ht="14.25" customHeight="1" x14ac:dyDescent="0.35"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</row>
    <row r="107" spans="11:36" ht="14.25" customHeight="1" x14ac:dyDescent="0.35"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</row>
    <row r="108" spans="11:36" ht="14.25" customHeight="1" x14ac:dyDescent="0.35"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</row>
    <row r="109" spans="11:36" ht="14.25" customHeight="1" x14ac:dyDescent="0.35"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</row>
    <row r="110" spans="11:36" ht="14.25" customHeight="1" x14ac:dyDescent="0.35"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</row>
    <row r="111" spans="11:36" ht="14.25" customHeight="1" x14ac:dyDescent="0.35"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</row>
    <row r="112" spans="11:36" ht="14.25" customHeight="1" x14ac:dyDescent="0.35"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</row>
    <row r="113" spans="11:36" ht="14.25" customHeight="1" x14ac:dyDescent="0.35"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</row>
    <row r="114" spans="11:36" ht="14.25" customHeight="1" x14ac:dyDescent="0.35"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</row>
    <row r="115" spans="11:36" ht="14.25" customHeight="1" x14ac:dyDescent="0.35"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</row>
    <row r="116" spans="11:36" ht="14.25" customHeight="1" x14ac:dyDescent="0.35"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</row>
    <row r="117" spans="11:36" ht="14.25" customHeight="1" x14ac:dyDescent="0.35"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</row>
    <row r="118" spans="11:36" ht="14.25" customHeight="1" x14ac:dyDescent="0.35"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</row>
    <row r="119" spans="11:36" ht="14.25" customHeight="1" x14ac:dyDescent="0.35"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</row>
    <row r="120" spans="11:36" ht="14.25" customHeight="1" x14ac:dyDescent="0.35"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</row>
    <row r="121" spans="11:36" ht="14.25" customHeight="1" x14ac:dyDescent="0.35"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</row>
    <row r="122" spans="11:36" ht="14.25" customHeight="1" x14ac:dyDescent="0.35"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</row>
    <row r="123" spans="11:36" ht="14.25" customHeight="1" x14ac:dyDescent="0.35"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</row>
    <row r="124" spans="11:36" ht="14.25" customHeight="1" x14ac:dyDescent="0.35"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</row>
    <row r="125" spans="11:36" ht="14.25" customHeight="1" x14ac:dyDescent="0.35"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</row>
    <row r="126" spans="11:36" ht="14.25" customHeight="1" x14ac:dyDescent="0.35"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</row>
    <row r="127" spans="11:36" ht="14.25" customHeight="1" x14ac:dyDescent="0.35"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</row>
    <row r="128" spans="11:36" ht="14.25" customHeight="1" x14ac:dyDescent="0.35"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</row>
    <row r="129" spans="11:36" ht="14.25" customHeight="1" x14ac:dyDescent="0.35"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</row>
    <row r="130" spans="11:36" ht="14.25" customHeight="1" x14ac:dyDescent="0.35"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</row>
    <row r="131" spans="11:36" ht="14.25" customHeight="1" x14ac:dyDescent="0.35"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</row>
    <row r="132" spans="11:36" ht="14.25" customHeight="1" x14ac:dyDescent="0.35"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</row>
    <row r="133" spans="11:36" ht="14.25" customHeight="1" x14ac:dyDescent="0.35"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</row>
    <row r="134" spans="11:36" ht="14.25" customHeight="1" x14ac:dyDescent="0.35"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</row>
    <row r="135" spans="11:36" ht="14.25" customHeight="1" x14ac:dyDescent="0.35"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</row>
    <row r="136" spans="11:36" ht="14.25" customHeight="1" x14ac:dyDescent="0.35"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</row>
    <row r="137" spans="11:36" ht="14.25" customHeight="1" x14ac:dyDescent="0.35"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</row>
    <row r="138" spans="11:36" ht="14.25" customHeight="1" x14ac:dyDescent="0.35"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</row>
    <row r="139" spans="11:36" ht="14.25" customHeight="1" x14ac:dyDescent="0.35"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</row>
    <row r="140" spans="11:36" ht="14.25" customHeight="1" x14ac:dyDescent="0.35"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</row>
    <row r="141" spans="11:36" ht="14.25" customHeight="1" x14ac:dyDescent="0.35"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</row>
    <row r="142" spans="11:36" ht="14.25" customHeight="1" x14ac:dyDescent="0.35"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</row>
    <row r="143" spans="11:36" ht="14.25" customHeight="1" x14ac:dyDescent="0.35"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</row>
    <row r="144" spans="11:36" ht="14.25" customHeight="1" x14ac:dyDescent="0.35"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</row>
    <row r="145" spans="11:36" ht="14.25" customHeight="1" x14ac:dyDescent="0.35"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</row>
    <row r="146" spans="11:36" ht="14.25" customHeight="1" x14ac:dyDescent="0.35"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</row>
    <row r="147" spans="11:36" ht="14.25" customHeight="1" x14ac:dyDescent="0.35"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</row>
    <row r="148" spans="11:36" ht="14.25" customHeight="1" x14ac:dyDescent="0.35"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</row>
    <row r="149" spans="11:36" ht="14.25" customHeight="1" x14ac:dyDescent="0.35"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</row>
    <row r="150" spans="11:36" ht="14.25" customHeight="1" x14ac:dyDescent="0.35"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</row>
    <row r="151" spans="11:36" ht="14.25" customHeight="1" x14ac:dyDescent="0.35"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</row>
    <row r="152" spans="11:36" ht="14.25" customHeight="1" x14ac:dyDescent="0.35"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</row>
    <row r="153" spans="11:36" ht="14.25" customHeight="1" x14ac:dyDescent="0.35"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</row>
    <row r="154" spans="11:36" ht="14.25" customHeight="1" x14ac:dyDescent="0.35"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</row>
    <row r="155" spans="11:36" ht="14.25" customHeight="1" x14ac:dyDescent="0.35"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</row>
    <row r="156" spans="11:36" ht="14.25" customHeight="1" x14ac:dyDescent="0.35"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</row>
    <row r="157" spans="11:36" ht="14.25" customHeight="1" x14ac:dyDescent="0.35"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</row>
    <row r="158" spans="11:36" ht="14.25" customHeight="1" x14ac:dyDescent="0.35"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</row>
    <row r="159" spans="11:36" ht="14.25" customHeight="1" x14ac:dyDescent="0.35"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</row>
    <row r="160" spans="11:36" ht="14.25" customHeight="1" x14ac:dyDescent="0.35"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</row>
    <row r="161" spans="11:36" ht="14.25" customHeight="1" x14ac:dyDescent="0.35"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</row>
    <row r="162" spans="11:36" ht="14.25" customHeight="1" x14ac:dyDescent="0.35"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</row>
    <row r="163" spans="11:36" ht="14.25" customHeight="1" x14ac:dyDescent="0.35"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</row>
    <row r="164" spans="11:36" ht="14.25" customHeight="1" x14ac:dyDescent="0.35"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</row>
    <row r="165" spans="11:36" ht="14.25" customHeight="1" x14ac:dyDescent="0.35"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</row>
    <row r="166" spans="11:36" ht="14.25" customHeight="1" x14ac:dyDescent="0.35"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</row>
    <row r="167" spans="11:36" ht="14.25" customHeight="1" x14ac:dyDescent="0.35"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</row>
    <row r="168" spans="11:36" ht="14.25" customHeight="1" x14ac:dyDescent="0.35"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</row>
    <row r="169" spans="11:36" ht="14.25" customHeight="1" x14ac:dyDescent="0.35"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</row>
    <row r="170" spans="11:36" ht="14.25" customHeight="1" x14ac:dyDescent="0.35"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</row>
    <row r="171" spans="11:36" ht="14.25" customHeight="1" x14ac:dyDescent="0.35"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</row>
    <row r="172" spans="11:36" ht="14.25" customHeight="1" x14ac:dyDescent="0.35"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</row>
    <row r="173" spans="11:36" ht="14.25" customHeight="1" x14ac:dyDescent="0.35"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</row>
    <row r="174" spans="11:36" ht="14.25" customHeight="1" x14ac:dyDescent="0.35"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</row>
    <row r="175" spans="11:36" ht="14.25" customHeight="1" x14ac:dyDescent="0.35"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</row>
    <row r="176" spans="11:36" ht="14.25" customHeight="1" x14ac:dyDescent="0.35"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</row>
    <row r="177" spans="11:36" ht="14.25" customHeight="1" x14ac:dyDescent="0.35"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</row>
    <row r="178" spans="11:36" ht="14.25" customHeight="1" x14ac:dyDescent="0.35"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</row>
    <row r="179" spans="11:36" ht="14.25" customHeight="1" x14ac:dyDescent="0.35"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</row>
    <row r="180" spans="11:36" ht="14.25" customHeight="1" x14ac:dyDescent="0.35"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</row>
    <row r="181" spans="11:36" ht="14.25" customHeight="1" x14ac:dyDescent="0.35"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</row>
    <row r="182" spans="11:36" ht="14.25" customHeight="1" x14ac:dyDescent="0.35"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</row>
    <row r="183" spans="11:36" ht="14.25" customHeight="1" x14ac:dyDescent="0.35"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</row>
    <row r="184" spans="11:36" ht="14.25" customHeight="1" x14ac:dyDescent="0.35"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</row>
    <row r="185" spans="11:36" ht="14.25" customHeight="1" x14ac:dyDescent="0.35"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</row>
    <row r="186" spans="11:36" ht="14.25" customHeight="1" x14ac:dyDescent="0.35"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</row>
    <row r="187" spans="11:36" ht="14.25" customHeight="1" x14ac:dyDescent="0.35"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</row>
    <row r="188" spans="11:36" ht="14.25" customHeight="1" x14ac:dyDescent="0.35"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</row>
    <row r="189" spans="11:36" ht="14.25" customHeight="1" x14ac:dyDescent="0.35"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</row>
    <row r="190" spans="11:36" ht="14.25" customHeight="1" x14ac:dyDescent="0.35"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</row>
    <row r="191" spans="11:36" ht="14.25" customHeight="1" x14ac:dyDescent="0.35"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</row>
    <row r="192" spans="11:36" ht="14.25" customHeight="1" x14ac:dyDescent="0.35"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</row>
    <row r="193" spans="11:36" ht="14.25" customHeight="1" x14ac:dyDescent="0.35"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</row>
    <row r="194" spans="11:36" ht="14.25" customHeight="1" x14ac:dyDescent="0.35"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</row>
    <row r="195" spans="11:36" ht="14.25" customHeight="1" x14ac:dyDescent="0.35"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</row>
    <row r="196" spans="11:36" ht="14.25" customHeight="1" x14ac:dyDescent="0.35"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</row>
    <row r="197" spans="11:36" ht="14.25" customHeight="1" x14ac:dyDescent="0.35"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</row>
    <row r="198" spans="11:36" ht="14.25" customHeight="1" x14ac:dyDescent="0.35"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</row>
    <row r="199" spans="11:36" ht="14.25" customHeight="1" x14ac:dyDescent="0.35"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</row>
    <row r="200" spans="11:36" ht="14.25" customHeight="1" x14ac:dyDescent="0.35"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</row>
    <row r="201" spans="11:36" ht="14.25" customHeight="1" x14ac:dyDescent="0.35"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</row>
    <row r="202" spans="11:36" ht="14.25" customHeight="1" x14ac:dyDescent="0.35"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</row>
    <row r="203" spans="11:36" ht="14.25" customHeight="1" x14ac:dyDescent="0.35"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</row>
    <row r="204" spans="11:36" ht="14.25" customHeight="1" x14ac:dyDescent="0.35"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</row>
    <row r="205" spans="11:36" ht="14.25" customHeight="1" x14ac:dyDescent="0.35"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</row>
    <row r="206" spans="11:36" ht="14.25" customHeight="1" x14ac:dyDescent="0.35"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</row>
    <row r="207" spans="11:36" ht="14.25" customHeight="1" x14ac:dyDescent="0.35"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</row>
    <row r="208" spans="11:36" ht="14.25" customHeight="1" x14ac:dyDescent="0.35"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</row>
    <row r="209" spans="11:36" ht="14.25" customHeight="1" x14ac:dyDescent="0.35"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</row>
    <row r="210" spans="11:36" ht="14.25" customHeight="1" x14ac:dyDescent="0.35"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</row>
    <row r="211" spans="11:36" ht="14.25" customHeight="1" x14ac:dyDescent="0.35"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</row>
    <row r="212" spans="11:36" ht="14.25" customHeight="1" x14ac:dyDescent="0.35"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</row>
    <row r="213" spans="11:36" ht="14.25" customHeight="1" x14ac:dyDescent="0.35"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</row>
    <row r="214" spans="11:36" ht="14.25" customHeight="1" x14ac:dyDescent="0.35"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</row>
    <row r="215" spans="11:36" ht="14.25" customHeight="1" x14ac:dyDescent="0.35"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</row>
    <row r="216" spans="11:36" ht="14.25" customHeight="1" x14ac:dyDescent="0.35"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</row>
    <row r="217" spans="11:36" ht="14.25" customHeight="1" x14ac:dyDescent="0.35"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</row>
    <row r="218" spans="11:36" ht="14.25" customHeight="1" x14ac:dyDescent="0.35"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</row>
    <row r="219" spans="11:36" ht="14.25" customHeight="1" x14ac:dyDescent="0.35"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</row>
    <row r="220" spans="11:36" ht="14.25" customHeight="1" x14ac:dyDescent="0.35"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</row>
    <row r="221" spans="11:36" ht="14.25" customHeight="1" x14ac:dyDescent="0.35"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</row>
    <row r="222" spans="11:36" ht="14.25" customHeight="1" x14ac:dyDescent="0.35"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</row>
    <row r="223" spans="11:36" ht="14.25" customHeight="1" x14ac:dyDescent="0.35"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</row>
    <row r="224" spans="11:36" ht="14.25" customHeight="1" x14ac:dyDescent="0.35"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</row>
    <row r="225" spans="11:36" ht="14.25" customHeight="1" x14ac:dyDescent="0.35"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</row>
    <row r="226" spans="11:36" ht="14.25" customHeight="1" x14ac:dyDescent="0.35"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</row>
    <row r="227" spans="11:36" ht="14.25" customHeight="1" x14ac:dyDescent="0.35"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</row>
    <row r="228" spans="11:36" ht="14.25" customHeight="1" x14ac:dyDescent="0.35"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</row>
    <row r="229" spans="11:36" ht="14.25" customHeight="1" x14ac:dyDescent="0.35"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</row>
    <row r="230" spans="11:36" ht="14.25" customHeight="1" x14ac:dyDescent="0.35"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</row>
    <row r="231" spans="11:36" ht="14.25" customHeight="1" x14ac:dyDescent="0.35"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</row>
    <row r="232" spans="11:36" ht="14.25" customHeight="1" x14ac:dyDescent="0.35"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</row>
    <row r="233" spans="11:36" ht="14.25" customHeight="1" x14ac:dyDescent="0.35"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</row>
    <row r="234" spans="11:36" ht="14.25" customHeight="1" x14ac:dyDescent="0.35"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</row>
    <row r="235" spans="11:36" ht="14.25" customHeight="1" x14ac:dyDescent="0.35"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</row>
    <row r="236" spans="11:36" ht="14.25" customHeight="1" x14ac:dyDescent="0.35"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</row>
    <row r="237" spans="11:36" ht="14.25" customHeight="1" x14ac:dyDescent="0.35"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</row>
    <row r="238" spans="11:36" ht="14.25" customHeight="1" x14ac:dyDescent="0.35"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</row>
    <row r="239" spans="11:36" ht="14.25" customHeight="1" x14ac:dyDescent="0.35"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</row>
    <row r="240" spans="11:36" ht="14.25" customHeight="1" x14ac:dyDescent="0.35"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</row>
    <row r="241" spans="11:36" ht="14.25" customHeight="1" x14ac:dyDescent="0.35"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</row>
    <row r="242" spans="11:36" ht="14.25" customHeight="1" x14ac:dyDescent="0.35"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</row>
    <row r="243" spans="11:36" ht="14.25" customHeight="1" x14ac:dyDescent="0.35"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</row>
    <row r="244" spans="11:36" ht="14.25" customHeight="1" x14ac:dyDescent="0.35"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</row>
    <row r="245" spans="11:36" ht="14.25" customHeight="1" x14ac:dyDescent="0.35"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</row>
    <row r="246" spans="11:36" ht="14.25" customHeight="1" x14ac:dyDescent="0.35"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</row>
    <row r="247" spans="11:36" ht="14.25" customHeight="1" x14ac:dyDescent="0.35"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</row>
    <row r="248" spans="11:36" ht="14.25" customHeight="1" x14ac:dyDescent="0.35"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</row>
    <row r="249" spans="11:36" ht="14.25" customHeight="1" x14ac:dyDescent="0.35"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</row>
    <row r="250" spans="11:36" ht="14.25" customHeight="1" x14ac:dyDescent="0.35"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</row>
    <row r="251" spans="11:36" ht="14.25" customHeight="1" x14ac:dyDescent="0.35"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</row>
    <row r="252" spans="11:36" ht="14.25" customHeight="1" x14ac:dyDescent="0.35"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</row>
    <row r="253" spans="11:36" ht="14.25" customHeight="1" x14ac:dyDescent="0.35"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</row>
    <row r="254" spans="11:36" ht="14.25" customHeight="1" x14ac:dyDescent="0.35"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</row>
    <row r="255" spans="11:36" ht="14.25" customHeight="1" x14ac:dyDescent="0.35"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</row>
    <row r="256" spans="11:36" ht="14.25" customHeight="1" x14ac:dyDescent="0.35"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</row>
    <row r="257" spans="11:36" ht="14.25" customHeight="1" x14ac:dyDescent="0.35"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</row>
    <row r="258" spans="11:36" ht="14.25" customHeight="1" x14ac:dyDescent="0.35"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</row>
    <row r="259" spans="11:36" ht="14.25" customHeight="1" x14ac:dyDescent="0.35"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</row>
    <row r="260" spans="11:36" ht="14.25" customHeight="1" x14ac:dyDescent="0.35"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</row>
    <row r="261" spans="11:36" ht="14.25" customHeight="1" x14ac:dyDescent="0.35"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</row>
    <row r="262" spans="11:36" ht="14.25" customHeight="1" x14ac:dyDescent="0.35"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</row>
    <row r="263" spans="11:36" ht="14.25" customHeight="1" x14ac:dyDescent="0.35"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</row>
    <row r="264" spans="11:36" ht="14.25" customHeight="1" x14ac:dyDescent="0.35"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</row>
    <row r="265" spans="11:36" ht="14.25" customHeight="1" x14ac:dyDescent="0.35"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</row>
    <row r="266" spans="11:36" ht="14.25" customHeight="1" x14ac:dyDescent="0.35"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</row>
    <row r="267" spans="11:36" ht="14.25" customHeight="1" x14ac:dyDescent="0.35"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</row>
    <row r="268" spans="11:36" ht="14.25" customHeight="1" x14ac:dyDescent="0.35"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</row>
    <row r="269" spans="11:36" ht="14.25" customHeight="1" x14ac:dyDescent="0.35"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</row>
    <row r="270" spans="11:36" ht="14.25" customHeight="1" x14ac:dyDescent="0.35"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</row>
    <row r="271" spans="11:36" ht="14.25" customHeight="1" x14ac:dyDescent="0.35"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</row>
    <row r="272" spans="11:36" ht="14.25" customHeight="1" x14ac:dyDescent="0.35"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</row>
    <row r="273" spans="11:36" ht="14.25" customHeight="1" x14ac:dyDescent="0.35"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</row>
    <row r="274" spans="11:36" ht="14.25" customHeight="1" x14ac:dyDescent="0.35"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</row>
    <row r="275" spans="11:36" ht="14.25" customHeight="1" x14ac:dyDescent="0.35"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</row>
    <row r="276" spans="11:36" ht="14.25" customHeight="1" x14ac:dyDescent="0.35"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  <c r="AJ276" s="29"/>
    </row>
    <row r="277" spans="11:36" ht="14.25" customHeight="1" x14ac:dyDescent="0.35"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</row>
    <row r="278" spans="11:36" ht="14.25" customHeight="1" x14ac:dyDescent="0.35"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</row>
    <row r="279" spans="11:36" ht="14.25" customHeight="1" x14ac:dyDescent="0.35"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</row>
    <row r="280" spans="11:36" ht="14.25" customHeight="1" x14ac:dyDescent="0.35"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  <c r="AJ280" s="29"/>
    </row>
    <row r="281" spans="11:36" ht="14.25" customHeight="1" x14ac:dyDescent="0.35"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</row>
    <row r="282" spans="11:36" ht="14.25" customHeight="1" x14ac:dyDescent="0.35"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  <c r="AJ282" s="29"/>
    </row>
    <row r="283" spans="11:36" ht="14.25" customHeight="1" x14ac:dyDescent="0.35"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</row>
    <row r="284" spans="11:36" ht="14.25" customHeight="1" x14ac:dyDescent="0.35"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</row>
    <row r="285" spans="11:36" ht="14.25" customHeight="1" x14ac:dyDescent="0.35"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</row>
    <row r="286" spans="11:36" ht="14.25" customHeight="1" x14ac:dyDescent="0.35"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  <c r="AJ286" s="29"/>
    </row>
    <row r="287" spans="11:36" ht="14.25" customHeight="1" x14ac:dyDescent="0.35"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</row>
    <row r="288" spans="11:36" ht="14.25" customHeight="1" x14ac:dyDescent="0.35"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  <c r="AJ288" s="29"/>
    </row>
    <row r="289" spans="11:36" ht="14.25" customHeight="1" x14ac:dyDescent="0.35"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</row>
    <row r="290" spans="11:36" ht="14.25" customHeight="1" x14ac:dyDescent="0.35"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  <c r="AJ290" s="29"/>
    </row>
    <row r="291" spans="11:36" ht="14.25" customHeight="1" x14ac:dyDescent="0.35"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</row>
    <row r="292" spans="11:36" ht="14.25" customHeight="1" x14ac:dyDescent="0.35"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  <c r="AJ292" s="29"/>
    </row>
    <row r="293" spans="11:36" ht="14.25" customHeight="1" x14ac:dyDescent="0.35"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</row>
    <row r="294" spans="11:36" ht="14.25" customHeight="1" x14ac:dyDescent="0.35"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  <c r="AJ294" s="29"/>
    </row>
    <row r="295" spans="11:36" ht="14.25" customHeight="1" x14ac:dyDescent="0.35"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</row>
    <row r="296" spans="11:36" ht="14.25" customHeight="1" x14ac:dyDescent="0.35"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</row>
    <row r="297" spans="11:36" ht="14.25" customHeight="1" x14ac:dyDescent="0.35"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</row>
    <row r="298" spans="11:36" ht="14.25" customHeight="1" x14ac:dyDescent="0.35"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  <c r="AJ298" s="29"/>
    </row>
    <row r="299" spans="11:36" ht="14.25" customHeight="1" x14ac:dyDescent="0.35"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</row>
    <row r="300" spans="11:36" ht="14.25" customHeight="1" x14ac:dyDescent="0.35"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  <c r="AJ300" s="29"/>
    </row>
    <row r="301" spans="11:36" ht="14.25" customHeight="1" x14ac:dyDescent="0.35"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</row>
    <row r="302" spans="11:36" ht="14.25" customHeight="1" x14ac:dyDescent="0.35"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</row>
    <row r="303" spans="11:36" ht="14.25" customHeight="1" x14ac:dyDescent="0.35"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</row>
    <row r="304" spans="11:36" ht="14.25" customHeight="1" x14ac:dyDescent="0.35"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</row>
    <row r="305" spans="11:36" ht="14.25" customHeight="1" x14ac:dyDescent="0.35"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</row>
    <row r="306" spans="11:36" ht="14.25" customHeight="1" x14ac:dyDescent="0.35"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</row>
    <row r="307" spans="11:36" ht="14.25" customHeight="1" x14ac:dyDescent="0.35"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</row>
    <row r="308" spans="11:36" ht="14.25" customHeight="1" x14ac:dyDescent="0.35"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  <c r="AJ308" s="29"/>
    </row>
    <row r="309" spans="11:36" ht="14.25" customHeight="1" x14ac:dyDescent="0.35"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</row>
    <row r="310" spans="11:36" ht="14.25" customHeight="1" x14ac:dyDescent="0.35"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  <c r="AJ310" s="29"/>
    </row>
    <row r="311" spans="11:36" ht="14.25" customHeight="1" x14ac:dyDescent="0.35"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</row>
    <row r="312" spans="11:36" ht="14.25" customHeight="1" x14ac:dyDescent="0.35"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  <c r="AJ312" s="29"/>
    </row>
    <row r="313" spans="11:36" ht="14.25" customHeight="1" x14ac:dyDescent="0.35"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  <c r="AJ313" s="29"/>
    </row>
    <row r="314" spans="11:36" ht="14.25" customHeight="1" x14ac:dyDescent="0.35"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</row>
    <row r="315" spans="11:36" ht="14.25" customHeight="1" x14ac:dyDescent="0.35"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</row>
    <row r="316" spans="11:36" ht="14.25" customHeight="1" x14ac:dyDescent="0.35"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  <c r="AJ316" s="29"/>
    </row>
    <row r="317" spans="11:36" ht="14.25" customHeight="1" x14ac:dyDescent="0.35"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</row>
    <row r="318" spans="11:36" ht="14.25" customHeight="1" x14ac:dyDescent="0.35"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</row>
    <row r="319" spans="11:36" ht="14.25" customHeight="1" x14ac:dyDescent="0.35"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</row>
    <row r="320" spans="11:36" ht="14.25" customHeight="1" x14ac:dyDescent="0.35"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</row>
    <row r="321" spans="11:36" ht="14.25" customHeight="1" x14ac:dyDescent="0.35"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</row>
    <row r="322" spans="11:36" ht="14.25" customHeight="1" x14ac:dyDescent="0.35"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</row>
    <row r="323" spans="11:36" ht="14.25" customHeight="1" x14ac:dyDescent="0.35"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</row>
    <row r="324" spans="11:36" ht="14.25" customHeight="1" x14ac:dyDescent="0.35"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</row>
    <row r="325" spans="11:36" ht="14.25" customHeight="1" x14ac:dyDescent="0.35"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</row>
    <row r="326" spans="11:36" ht="14.25" customHeight="1" x14ac:dyDescent="0.35"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  <c r="AJ326" s="29"/>
    </row>
    <row r="327" spans="11:36" ht="14.25" customHeight="1" x14ac:dyDescent="0.35"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</row>
    <row r="328" spans="11:36" ht="14.25" customHeight="1" x14ac:dyDescent="0.35"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</row>
    <row r="329" spans="11:36" ht="14.25" customHeight="1" x14ac:dyDescent="0.35"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</row>
    <row r="330" spans="11:36" ht="14.25" customHeight="1" x14ac:dyDescent="0.35"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</row>
    <row r="331" spans="11:36" ht="14.25" customHeight="1" x14ac:dyDescent="0.35"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</row>
    <row r="332" spans="11:36" ht="14.25" customHeight="1" x14ac:dyDescent="0.35"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</row>
    <row r="333" spans="11:36" ht="14.25" customHeight="1" x14ac:dyDescent="0.35"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</row>
    <row r="334" spans="11:36" ht="14.25" customHeight="1" x14ac:dyDescent="0.35"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</row>
    <row r="335" spans="11:36" ht="14.25" customHeight="1" x14ac:dyDescent="0.35"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</row>
    <row r="336" spans="11:36" ht="14.25" customHeight="1" x14ac:dyDescent="0.35"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  <c r="AJ336" s="29"/>
    </row>
    <row r="337" spans="11:36" ht="14.25" customHeight="1" x14ac:dyDescent="0.35"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</row>
    <row r="338" spans="11:36" ht="14.25" customHeight="1" x14ac:dyDescent="0.35"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</row>
    <row r="339" spans="11:36" ht="14.25" customHeight="1" x14ac:dyDescent="0.35"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</row>
    <row r="340" spans="11:36" ht="14.25" customHeight="1" x14ac:dyDescent="0.35"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</row>
    <row r="341" spans="11:36" ht="14.25" customHeight="1" x14ac:dyDescent="0.35"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</row>
    <row r="342" spans="11:36" ht="14.25" customHeight="1" x14ac:dyDescent="0.35"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</row>
    <row r="343" spans="11:36" ht="14.25" customHeight="1" x14ac:dyDescent="0.35"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</row>
    <row r="344" spans="11:36" ht="14.25" customHeight="1" x14ac:dyDescent="0.35"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</row>
    <row r="345" spans="11:36" ht="14.25" customHeight="1" x14ac:dyDescent="0.35"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</row>
    <row r="346" spans="11:36" ht="14.25" customHeight="1" x14ac:dyDescent="0.35"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  <c r="AJ346" s="29"/>
    </row>
    <row r="347" spans="11:36" ht="14.25" customHeight="1" x14ac:dyDescent="0.35"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</row>
    <row r="348" spans="11:36" ht="14.25" customHeight="1" x14ac:dyDescent="0.35"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  <c r="AJ348" s="29"/>
    </row>
    <row r="349" spans="11:36" ht="14.25" customHeight="1" x14ac:dyDescent="0.35"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</row>
    <row r="350" spans="11:36" ht="14.25" customHeight="1" x14ac:dyDescent="0.35"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</row>
    <row r="351" spans="11:36" ht="14.25" customHeight="1" x14ac:dyDescent="0.35"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</row>
    <row r="352" spans="11:36" ht="14.25" customHeight="1" x14ac:dyDescent="0.35"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</row>
    <row r="353" spans="11:36" ht="14.25" customHeight="1" x14ac:dyDescent="0.35"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</row>
    <row r="354" spans="11:36" ht="14.25" customHeight="1" x14ac:dyDescent="0.35"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</row>
    <row r="355" spans="11:36" ht="14.25" customHeight="1" x14ac:dyDescent="0.35"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</row>
    <row r="356" spans="11:36" ht="14.25" customHeight="1" x14ac:dyDescent="0.35"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  <c r="AJ356" s="29"/>
    </row>
    <row r="357" spans="11:36" ht="14.25" customHeight="1" x14ac:dyDescent="0.35"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</row>
    <row r="358" spans="11:36" ht="14.25" customHeight="1" x14ac:dyDescent="0.35"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</row>
    <row r="359" spans="11:36" ht="14.25" customHeight="1" x14ac:dyDescent="0.35"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</row>
    <row r="360" spans="11:36" ht="14.25" customHeight="1" x14ac:dyDescent="0.35"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  <c r="AJ360" s="29"/>
    </row>
    <row r="361" spans="11:36" ht="14.25" customHeight="1" x14ac:dyDescent="0.35"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</row>
    <row r="362" spans="11:36" ht="14.25" customHeight="1" x14ac:dyDescent="0.35"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  <c r="AJ362" s="29"/>
    </row>
    <row r="363" spans="11:36" ht="14.25" customHeight="1" x14ac:dyDescent="0.35"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  <c r="AJ363" s="29"/>
    </row>
    <row r="364" spans="11:36" ht="14.25" customHeight="1" x14ac:dyDescent="0.35"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  <c r="AJ364" s="29"/>
    </row>
    <row r="365" spans="11:36" ht="14.25" customHeight="1" x14ac:dyDescent="0.35"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  <c r="AJ365" s="29"/>
    </row>
    <row r="366" spans="11:36" ht="14.25" customHeight="1" x14ac:dyDescent="0.35"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  <c r="AJ366" s="29"/>
    </row>
    <row r="367" spans="11:36" ht="14.25" customHeight="1" x14ac:dyDescent="0.35"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  <c r="AJ367" s="29"/>
    </row>
    <row r="368" spans="11:36" ht="14.25" customHeight="1" x14ac:dyDescent="0.35"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  <c r="AJ368" s="29"/>
    </row>
    <row r="369" spans="11:36" ht="14.25" customHeight="1" x14ac:dyDescent="0.35"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  <c r="AJ369" s="29"/>
    </row>
    <row r="370" spans="11:36" ht="14.25" customHeight="1" x14ac:dyDescent="0.35"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  <c r="AJ370" s="29"/>
    </row>
    <row r="371" spans="11:36" ht="14.25" customHeight="1" x14ac:dyDescent="0.35"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  <c r="AJ371" s="29"/>
    </row>
    <row r="372" spans="11:36" ht="14.25" customHeight="1" x14ac:dyDescent="0.35"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  <c r="AJ372" s="29"/>
    </row>
    <row r="373" spans="11:36" ht="14.25" customHeight="1" x14ac:dyDescent="0.35"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  <c r="AJ373" s="29"/>
    </row>
    <row r="374" spans="11:36" ht="14.25" customHeight="1" x14ac:dyDescent="0.35"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  <c r="AJ374" s="29"/>
    </row>
    <row r="375" spans="11:36" ht="14.25" customHeight="1" x14ac:dyDescent="0.35"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  <c r="AJ375" s="29"/>
    </row>
    <row r="376" spans="11:36" ht="14.25" customHeight="1" x14ac:dyDescent="0.35"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  <c r="AJ376" s="29"/>
    </row>
    <row r="377" spans="11:36" ht="14.25" customHeight="1" x14ac:dyDescent="0.35"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  <c r="AJ377" s="29"/>
    </row>
    <row r="378" spans="11:36" ht="14.25" customHeight="1" x14ac:dyDescent="0.35"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  <c r="AJ378" s="29"/>
    </row>
    <row r="379" spans="11:36" ht="14.25" customHeight="1" x14ac:dyDescent="0.35"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</row>
    <row r="380" spans="11:36" ht="14.25" customHeight="1" x14ac:dyDescent="0.35"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  <c r="AJ380" s="29"/>
    </row>
    <row r="381" spans="11:36" ht="14.25" customHeight="1" x14ac:dyDescent="0.35"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  <c r="AJ381" s="29"/>
    </row>
    <row r="382" spans="11:36" ht="14.25" customHeight="1" x14ac:dyDescent="0.35"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  <c r="AJ382" s="29"/>
    </row>
    <row r="383" spans="11:36" ht="14.25" customHeight="1" x14ac:dyDescent="0.35"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  <c r="AJ383" s="29"/>
    </row>
    <row r="384" spans="11:36" ht="14.25" customHeight="1" x14ac:dyDescent="0.35"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  <c r="AJ384" s="29"/>
    </row>
    <row r="385" spans="11:36" ht="14.25" customHeight="1" x14ac:dyDescent="0.35"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</row>
    <row r="386" spans="11:36" ht="14.25" customHeight="1" x14ac:dyDescent="0.35"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  <c r="AJ386" s="29"/>
    </row>
    <row r="387" spans="11:36" ht="14.25" customHeight="1" x14ac:dyDescent="0.35"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</row>
    <row r="388" spans="11:36" ht="14.25" customHeight="1" x14ac:dyDescent="0.35"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  <c r="AJ388" s="29"/>
    </row>
    <row r="389" spans="11:36" ht="14.25" customHeight="1" x14ac:dyDescent="0.35"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</row>
    <row r="390" spans="11:36" ht="14.25" customHeight="1" x14ac:dyDescent="0.35"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</row>
    <row r="391" spans="11:36" ht="14.25" customHeight="1" x14ac:dyDescent="0.35"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  <c r="AJ391" s="29"/>
    </row>
    <row r="392" spans="11:36" ht="14.25" customHeight="1" x14ac:dyDescent="0.35"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  <c r="AJ392" s="29"/>
    </row>
    <row r="393" spans="11:36" ht="14.25" customHeight="1" x14ac:dyDescent="0.35"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</row>
    <row r="394" spans="11:36" ht="14.25" customHeight="1" x14ac:dyDescent="0.35"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</row>
    <row r="395" spans="11:36" ht="14.25" customHeight="1" x14ac:dyDescent="0.35"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</row>
    <row r="396" spans="11:36" ht="14.25" customHeight="1" x14ac:dyDescent="0.35"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  <c r="AJ396" s="29"/>
    </row>
    <row r="397" spans="11:36" ht="14.25" customHeight="1" x14ac:dyDescent="0.35"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  <c r="AJ397" s="29"/>
    </row>
    <row r="398" spans="11:36" ht="14.25" customHeight="1" x14ac:dyDescent="0.35"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  <c r="AJ398" s="29"/>
    </row>
    <row r="399" spans="11:36" ht="14.25" customHeight="1" x14ac:dyDescent="0.35"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  <c r="AJ399" s="29"/>
    </row>
    <row r="400" spans="11:36" ht="14.25" customHeight="1" x14ac:dyDescent="0.35"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  <c r="AJ400" s="29"/>
    </row>
    <row r="401" spans="11:36" ht="14.25" customHeight="1" x14ac:dyDescent="0.35"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</row>
    <row r="402" spans="11:36" ht="14.25" customHeight="1" x14ac:dyDescent="0.35"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  <c r="AJ402" s="29"/>
    </row>
    <row r="403" spans="11:36" ht="14.25" customHeight="1" x14ac:dyDescent="0.35"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</row>
    <row r="404" spans="11:36" ht="14.25" customHeight="1" x14ac:dyDescent="0.35"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</row>
    <row r="405" spans="11:36" ht="14.25" customHeight="1" x14ac:dyDescent="0.35"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</row>
    <row r="406" spans="11:36" ht="14.25" customHeight="1" x14ac:dyDescent="0.35"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  <c r="AJ406" s="29"/>
    </row>
    <row r="407" spans="11:36" ht="14.25" customHeight="1" x14ac:dyDescent="0.35"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</row>
    <row r="408" spans="11:36" ht="14.25" customHeight="1" x14ac:dyDescent="0.35"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</row>
    <row r="409" spans="11:36" ht="14.25" customHeight="1" x14ac:dyDescent="0.35"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</row>
    <row r="410" spans="11:36" ht="14.25" customHeight="1" x14ac:dyDescent="0.35"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</row>
    <row r="411" spans="11:36" ht="14.25" customHeight="1" x14ac:dyDescent="0.35"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</row>
    <row r="412" spans="11:36" ht="14.25" customHeight="1" x14ac:dyDescent="0.35"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</row>
    <row r="413" spans="11:36" ht="14.25" customHeight="1" x14ac:dyDescent="0.35"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</row>
    <row r="414" spans="11:36" ht="14.25" customHeight="1" x14ac:dyDescent="0.35"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</row>
    <row r="415" spans="11:36" ht="14.25" customHeight="1" x14ac:dyDescent="0.35"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</row>
    <row r="416" spans="11:36" ht="14.25" customHeight="1" x14ac:dyDescent="0.35"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</row>
    <row r="417" spans="11:36" ht="14.25" customHeight="1" x14ac:dyDescent="0.35"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</row>
    <row r="418" spans="11:36" ht="14.25" customHeight="1" x14ac:dyDescent="0.35"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</row>
    <row r="419" spans="11:36" ht="14.25" customHeight="1" x14ac:dyDescent="0.35"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</row>
    <row r="420" spans="11:36" ht="14.25" customHeight="1" x14ac:dyDescent="0.35"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</row>
    <row r="421" spans="11:36" ht="14.25" customHeight="1" x14ac:dyDescent="0.35"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</row>
    <row r="422" spans="11:36" ht="14.25" customHeight="1" x14ac:dyDescent="0.35"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</row>
    <row r="423" spans="11:36" ht="14.25" customHeight="1" x14ac:dyDescent="0.35"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</row>
    <row r="424" spans="11:36" ht="14.25" customHeight="1" x14ac:dyDescent="0.35"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</row>
    <row r="425" spans="11:36" ht="14.25" customHeight="1" x14ac:dyDescent="0.35"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</row>
    <row r="426" spans="11:36" ht="14.25" customHeight="1" x14ac:dyDescent="0.35"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</row>
    <row r="427" spans="11:36" ht="14.25" customHeight="1" x14ac:dyDescent="0.35"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</row>
    <row r="428" spans="11:36" ht="14.25" customHeight="1" x14ac:dyDescent="0.35"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</row>
    <row r="429" spans="11:36" ht="14.25" customHeight="1" x14ac:dyDescent="0.35"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</row>
    <row r="430" spans="11:36" ht="14.25" customHeight="1" x14ac:dyDescent="0.35"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</row>
    <row r="431" spans="11:36" ht="14.25" customHeight="1" x14ac:dyDescent="0.35"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</row>
    <row r="432" spans="11:36" ht="14.25" customHeight="1" x14ac:dyDescent="0.35"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</row>
    <row r="433" spans="11:36" ht="14.25" customHeight="1" x14ac:dyDescent="0.35"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</row>
    <row r="434" spans="11:36" ht="14.25" customHeight="1" x14ac:dyDescent="0.35"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</row>
    <row r="435" spans="11:36" ht="14.25" customHeight="1" x14ac:dyDescent="0.35"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</row>
    <row r="436" spans="11:36" ht="14.25" customHeight="1" x14ac:dyDescent="0.35"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</row>
    <row r="437" spans="11:36" ht="14.25" customHeight="1" x14ac:dyDescent="0.35"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</row>
    <row r="438" spans="11:36" ht="14.25" customHeight="1" x14ac:dyDescent="0.35"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  <c r="AJ438" s="29"/>
    </row>
    <row r="439" spans="11:36" ht="14.25" customHeight="1" x14ac:dyDescent="0.35"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</row>
    <row r="440" spans="11:36" ht="14.25" customHeight="1" x14ac:dyDescent="0.35"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  <c r="AJ440" s="29"/>
    </row>
    <row r="441" spans="11:36" ht="14.25" customHeight="1" x14ac:dyDescent="0.35"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</row>
    <row r="442" spans="11:36" ht="14.25" customHeight="1" x14ac:dyDescent="0.35"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  <c r="AJ442" s="29"/>
    </row>
    <row r="443" spans="11:36" ht="14.25" customHeight="1" x14ac:dyDescent="0.35"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</row>
    <row r="444" spans="11:36" ht="14.25" customHeight="1" x14ac:dyDescent="0.35"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  <c r="AJ444" s="29"/>
    </row>
    <row r="445" spans="11:36" ht="14.25" customHeight="1" x14ac:dyDescent="0.35"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  <c r="AJ445" s="29"/>
    </row>
    <row r="446" spans="11:36" ht="14.25" customHeight="1" x14ac:dyDescent="0.35"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  <c r="AJ446" s="29"/>
    </row>
    <row r="447" spans="11:36" ht="14.25" customHeight="1" x14ac:dyDescent="0.35"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</row>
    <row r="448" spans="11:36" ht="14.25" customHeight="1" x14ac:dyDescent="0.35"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  <c r="AJ448" s="29"/>
    </row>
    <row r="449" spans="11:36" ht="14.25" customHeight="1" x14ac:dyDescent="0.35"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</row>
    <row r="450" spans="11:36" ht="14.25" customHeight="1" x14ac:dyDescent="0.35"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  <c r="AJ450" s="29"/>
    </row>
    <row r="451" spans="11:36" ht="14.25" customHeight="1" x14ac:dyDescent="0.35"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</row>
    <row r="452" spans="11:36" ht="14.25" customHeight="1" x14ac:dyDescent="0.35"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  <c r="AJ452" s="29"/>
    </row>
    <row r="453" spans="11:36" ht="14.25" customHeight="1" x14ac:dyDescent="0.35"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</row>
    <row r="454" spans="11:36" ht="14.25" customHeight="1" x14ac:dyDescent="0.35"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  <c r="AJ454" s="29"/>
    </row>
    <row r="455" spans="11:36" ht="14.25" customHeight="1" x14ac:dyDescent="0.35"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</row>
    <row r="456" spans="11:36" ht="14.25" customHeight="1" x14ac:dyDescent="0.35"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  <c r="AJ456" s="29"/>
    </row>
    <row r="457" spans="11:36" ht="14.25" customHeight="1" x14ac:dyDescent="0.35"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  <c r="AJ457" s="29"/>
    </row>
    <row r="458" spans="11:36" ht="14.25" customHeight="1" x14ac:dyDescent="0.35"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  <c r="AJ458" s="29"/>
    </row>
    <row r="459" spans="11:36" ht="14.25" customHeight="1" x14ac:dyDescent="0.35"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</row>
    <row r="460" spans="11:36" ht="14.25" customHeight="1" x14ac:dyDescent="0.35"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</row>
    <row r="461" spans="11:36" ht="14.25" customHeight="1" x14ac:dyDescent="0.35"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</row>
    <row r="462" spans="11:36" ht="14.25" customHeight="1" x14ac:dyDescent="0.35"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</row>
    <row r="463" spans="11:36" ht="14.25" customHeight="1" x14ac:dyDescent="0.35"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</row>
    <row r="464" spans="11:36" ht="14.25" customHeight="1" x14ac:dyDescent="0.35"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</row>
    <row r="465" spans="11:36" ht="14.25" customHeight="1" x14ac:dyDescent="0.35"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</row>
    <row r="466" spans="11:36" ht="14.25" customHeight="1" x14ac:dyDescent="0.35"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</row>
    <row r="467" spans="11:36" ht="14.25" customHeight="1" x14ac:dyDescent="0.35"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</row>
    <row r="468" spans="11:36" ht="14.25" customHeight="1" x14ac:dyDescent="0.35"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</row>
    <row r="469" spans="11:36" ht="14.25" customHeight="1" x14ac:dyDescent="0.35"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</row>
    <row r="470" spans="11:36" ht="14.25" customHeight="1" x14ac:dyDescent="0.35"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</row>
    <row r="471" spans="11:36" ht="14.25" customHeight="1" x14ac:dyDescent="0.35"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</row>
    <row r="472" spans="11:36" ht="14.25" customHeight="1" x14ac:dyDescent="0.35"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</row>
    <row r="473" spans="11:36" ht="14.25" customHeight="1" x14ac:dyDescent="0.35"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</row>
    <row r="474" spans="11:36" ht="14.25" customHeight="1" x14ac:dyDescent="0.35"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</row>
    <row r="475" spans="11:36" ht="14.25" customHeight="1" x14ac:dyDescent="0.35"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</row>
    <row r="476" spans="11:36" ht="14.25" customHeight="1" x14ac:dyDescent="0.35"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</row>
    <row r="477" spans="11:36" ht="14.25" customHeight="1" x14ac:dyDescent="0.35"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</row>
    <row r="478" spans="11:36" ht="14.25" customHeight="1" x14ac:dyDescent="0.35"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</row>
    <row r="479" spans="11:36" ht="14.25" customHeight="1" x14ac:dyDescent="0.35"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</row>
    <row r="480" spans="11:36" ht="14.25" customHeight="1" x14ac:dyDescent="0.35"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</row>
    <row r="481" spans="11:36" ht="14.25" customHeight="1" x14ac:dyDescent="0.35"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</row>
    <row r="482" spans="11:36" ht="14.25" customHeight="1" x14ac:dyDescent="0.35"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</row>
    <row r="483" spans="11:36" ht="14.25" customHeight="1" x14ac:dyDescent="0.35"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</row>
    <row r="484" spans="11:36" ht="14.25" customHeight="1" x14ac:dyDescent="0.35"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</row>
    <row r="485" spans="11:36" ht="14.25" customHeight="1" x14ac:dyDescent="0.35"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</row>
    <row r="486" spans="11:36" ht="14.25" customHeight="1" x14ac:dyDescent="0.35"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</row>
    <row r="487" spans="11:36" ht="14.25" customHeight="1" x14ac:dyDescent="0.35"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</row>
    <row r="488" spans="11:36" ht="14.25" customHeight="1" x14ac:dyDescent="0.35"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</row>
    <row r="489" spans="11:36" ht="14.25" customHeight="1" x14ac:dyDescent="0.35"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</row>
    <row r="490" spans="11:36" ht="14.25" customHeight="1" x14ac:dyDescent="0.35"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</row>
    <row r="491" spans="11:36" ht="14.25" customHeight="1" x14ac:dyDescent="0.35"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</row>
    <row r="492" spans="11:36" ht="14.25" customHeight="1" x14ac:dyDescent="0.35"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</row>
    <row r="493" spans="11:36" ht="14.25" customHeight="1" x14ac:dyDescent="0.35"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</row>
    <row r="494" spans="11:36" ht="14.25" customHeight="1" x14ac:dyDescent="0.35"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</row>
    <row r="495" spans="11:36" ht="14.25" customHeight="1" x14ac:dyDescent="0.35"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</row>
    <row r="496" spans="11:36" ht="14.25" customHeight="1" x14ac:dyDescent="0.35"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</row>
    <row r="497" spans="11:36" ht="14.25" customHeight="1" x14ac:dyDescent="0.35"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</row>
    <row r="498" spans="11:36" ht="14.25" customHeight="1" x14ac:dyDescent="0.35"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</row>
    <row r="499" spans="11:36" ht="14.25" customHeight="1" x14ac:dyDescent="0.35"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</row>
    <row r="500" spans="11:36" ht="14.25" customHeight="1" x14ac:dyDescent="0.35"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</row>
    <row r="501" spans="11:36" ht="14.25" customHeight="1" x14ac:dyDescent="0.35"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</row>
    <row r="502" spans="11:36" ht="14.25" customHeight="1" x14ac:dyDescent="0.35"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</row>
    <row r="503" spans="11:36" ht="14.25" customHeight="1" x14ac:dyDescent="0.35"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</row>
    <row r="504" spans="11:36" ht="14.25" customHeight="1" x14ac:dyDescent="0.35"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</row>
    <row r="505" spans="11:36" ht="14.25" customHeight="1" x14ac:dyDescent="0.35"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</row>
    <row r="506" spans="11:36" ht="14.25" customHeight="1" x14ac:dyDescent="0.35"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</row>
    <row r="507" spans="11:36" ht="14.25" customHeight="1" x14ac:dyDescent="0.35"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</row>
    <row r="508" spans="11:36" ht="14.25" customHeight="1" x14ac:dyDescent="0.35"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</row>
    <row r="509" spans="11:36" ht="14.25" customHeight="1" x14ac:dyDescent="0.35"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</row>
    <row r="510" spans="11:36" ht="14.25" customHeight="1" x14ac:dyDescent="0.35"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  <c r="AJ510" s="29"/>
    </row>
    <row r="511" spans="11:36" ht="14.25" customHeight="1" x14ac:dyDescent="0.35"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</row>
    <row r="512" spans="11:36" ht="14.25" customHeight="1" x14ac:dyDescent="0.35"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</row>
    <row r="513" spans="11:36" ht="14.25" customHeight="1" x14ac:dyDescent="0.35"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</row>
    <row r="514" spans="11:36" ht="14.25" customHeight="1" x14ac:dyDescent="0.35"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</row>
    <row r="515" spans="11:36" ht="14.25" customHeight="1" x14ac:dyDescent="0.35"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</row>
    <row r="516" spans="11:36" ht="14.25" customHeight="1" x14ac:dyDescent="0.35"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</row>
    <row r="517" spans="11:36" ht="14.25" customHeight="1" x14ac:dyDescent="0.35"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</row>
    <row r="518" spans="11:36" ht="14.25" customHeight="1" x14ac:dyDescent="0.35"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</row>
    <row r="519" spans="11:36" ht="14.25" customHeight="1" x14ac:dyDescent="0.35"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</row>
    <row r="520" spans="11:36" ht="14.25" customHeight="1" x14ac:dyDescent="0.35"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</row>
    <row r="521" spans="11:36" ht="14.25" customHeight="1" x14ac:dyDescent="0.35"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</row>
    <row r="522" spans="11:36" ht="14.25" customHeight="1" x14ac:dyDescent="0.35"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</row>
    <row r="523" spans="11:36" ht="14.25" customHeight="1" x14ac:dyDescent="0.35"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</row>
    <row r="524" spans="11:36" ht="14.25" customHeight="1" x14ac:dyDescent="0.35"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  <c r="AJ524" s="29"/>
    </row>
    <row r="525" spans="11:36" ht="14.25" customHeight="1" x14ac:dyDescent="0.35"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  <c r="AJ525" s="29"/>
    </row>
    <row r="526" spans="11:36" ht="14.25" customHeight="1" x14ac:dyDescent="0.35"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  <c r="AJ526" s="29"/>
    </row>
    <row r="527" spans="11:36" ht="14.25" customHeight="1" x14ac:dyDescent="0.35"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  <c r="AJ527" s="29"/>
    </row>
    <row r="528" spans="11:36" ht="14.25" customHeight="1" x14ac:dyDescent="0.35"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  <c r="AJ528" s="29"/>
    </row>
    <row r="529" spans="11:36" ht="14.25" customHeight="1" x14ac:dyDescent="0.35"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  <c r="AJ529" s="29"/>
    </row>
    <row r="530" spans="11:36" ht="14.25" customHeight="1" x14ac:dyDescent="0.35"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  <c r="AJ530" s="29"/>
    </row>
    <row r="531" spans="11:36" ht="14.25" customHeight="1" x14ac:dyDescent="0.35"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  <c r="AJ531" s="29"/>
    </row>
    <row r="532" spans="11:36" ht="14.25" customHeight="1" x14ac:dyDescent="0.35"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  <c r="AJ532" s="29"/>
    </row>
    <row r="533" spans="11:36" ht="14.25" customHeight="1" x14ac:dyDescent="0.35"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  <c r="AJ533" s="29"/>
    </row>
    <row r="534" spans="11:36" ht="14.25" customHeight="1" x14ac:dyDescent="0.35"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  <c r="AJ534" s="29"/>
    </row>
    <row r="535" spans="11:36" ht="14.25" customHeight="1" x14ac:dyDescent="0.35"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  <c r="AJ535" s="29"/>
    </row>
    <row r="536" spans="11:36" ht="14.25" customHeight="1" x14ac:dyDescent="0.35"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  <c r="AJ536" s="29"/>
    </row>
    <row r="537" spans="11:36" ht="14.25" customHeight="1" x14ac:dyDescent="0.35"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  <c r="AJ537" s="29"/>
    </row>
    <row r="538" spans="11:36" ht="14.25" customHeight="1" x14ac:dyDescent="0.35"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  <c r="AJ538" s="29"/>
    </row>
    <row r="539" spans="11:36" ht="14.25" customHeight="1" x14ac:dyDescent="0.35"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  <c r="AJ539" s="29"/>
    </row>
    <row r="540" spans="11:36" ht="14.25" customHeight="1" x14ac:dyDescent="0.35"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  <c r="AJ540" s="29"/>
    </row>
    <row r="541" spans="11:36" ht="14.25" customHeight="1" x14ac:dyDescent="0.35"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  <c r="AJ541" s="29"/>
    </row>
    <row r="542" spans="11:36" ht="14.25" customHeight="1" x14ac:dyDescent="0.35"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  <c r="AJ542" s="29"/>
    </row>
    <row r="543" spans="11:36" ht="14.25" customHeight="1" x14ac:dyDescent="0.35"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  <c r="AJ543" s="29"/>
    </row>
    <row r="544" spans="11:36" ht="14.25" customHeight="1" x14ac:dyDescent="0.35"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  <c r="AJ544" s="29"/>
    </row>
    <row r="545" spans="11:36" ht="14.25" customHeight="1" x14ac:dyDescent="0.35"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  <c r="AJ545" s="29"/>
    </row>
    <row r="546" spans="11:36" ht="14.25" customHeight="1" x14ac:dyDescent="0.35"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  <c r="AJ546" s="29"/>
    </row>
    <row r="547" spans="11:36" ht="14.25" customHeight="1" x14ac:dyDescent="0.35"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  <c r="AJ547" s="29"/>
    </row>
    <row r="548" spans="11:36" ht="14.25" customHeight="1" x14ac:dyDescent="0.35"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  <c r="AJ548" s="29"/>
    </row>
    <row r="549" spans="11:36" ht="14.25" customHeight="1" x14ac:dyDescent="0.35"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  <c r="AJ549" s="29"/>
    </row>
    <row r="550" spans="11:36" ht="14.25" customHeight="1" x14ac:dyDescent="0.35"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  <c r="AJ550" s="29"/>
    </row>
    <row r="551" spans="11:36" ht="14.25" customHeight="1" x14ac:dyDescent="0.35"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  <c r="AJ551" s="29"/>
    </row>
    <row r="552" spans="11:36" ht="14.25" customHeight="1" x14ac:dyDescent="0.35"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  <c r="AJ552" s="29"/>
    </row>
    <row r="553" spans="11:36" ht="14.25" customHeight="1" x14ac:dyDescent="0.35"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  <c r="AJ553" s="29"/>
    </row>
    <row r="554" spans="11:36" ht="14.25" customHeight="1" x14ac:dyDescent="0.35"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  <c r="AJ554" s="29"/>
    </row>
    <row r="555" spans="11:36" ht="14.25" customHeight="1" x14ac:dyDescent="0.35"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  <c r="AJ555" s="29"/>
    </row>
    <row r="556" spans="11:36" ht="14.25" customHeight="1" x14ac:dyDescent="0.35"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  <c r="AJ556" s="29"/>
    </row>
    <row r="557" spans="11:36" ht="14.25" customHeight="1" x14ac:dyDescent="0.35"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  <c r="AJ557" s="29"/>
    </row>
    <row r="558" spans="11:36" ht="14.25" customHeight="1" x14ac:dyDescent="0.35"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  <c r="AJ558" s="29"/>
    </row>
    <row r="559" spans="11:36" ht="14.25" customHeight="1" x14ac:dyDescent="0.35"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  <c r="AJ559" s="29"/>
    </row>
    <row r="560" spans="11:36" ht="14.25" customHeight="1" x14ac:dyDescent="0.35"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  <c r="AJ560" s="29"/>
    </row>
    <row r="561" spans="11:36" ht="14.25" customHeight="1" x14ac:dyDescent="0.35"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  <c r="AJ561" s="29"/>
    </row>
    <row r="562" spans="11:36" ht="14.25" customHeight="1" x14ac:dyDescent="0.35"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  <c r="AJ562" s="29"/>
    </row>
    <row r="563" spans="11:36" ht="14.25" customHeight="1" x14ac:dyDescent="0.35"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  <c r="AJ563" s="29"/>
    </row>
    <row r="564" spans="11:36" ht="14.25" customHeight="1" x14ac:dyDescent="0.35"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  <c r="AJ564" s="29"/>
    </row>
    <row r="565" spans="11:36" ht="14.25" customHeight="1" x14ac:dyDescent="0.35"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  <c r="AJ565" s="29"/>
    </row>
    <row r="566" spans="11:36" ht="14.25" customHeight="1" x14ac:dyDescent="0.35"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  <c r="AJ566" s="29"/>
    </row>
    <row r="567" spans="11:36" ht="14.25" customHeight="1" x14ac:dyDescent="0.35"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  <c r="AJ567" s="29"/>
    </row>
    <row r="568" spans="11:36" ht="14.25" customHeight="1" x14ac:dyDescent="0.35"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  <c r="AJ568" s="29"/>
    </row>
    <row r="569" spans="11:36" ht="14.25" customHeight="1" x14ac:dyDescent="0.35"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  <c r="AJ569" s="29"/>
    </row>
    <row r="570" spans="11:36" ht="14.25" customHeight="1" x14ac:dyDescent="0.35"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  <c r="AJ570" s="29"/>
    </row>
    <row r="571" spans="11:36" ht="14.25" customHeight="1" x14ac:dyDescent="0.35"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  <c r="AJ571" s="29"/>
    </row>
    <row r="572" spans="11:36" ht="14.25" customHeight="1" x14ac:dyDescent="0.35"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  <c r="AJ572" s="29"/>
    </row>
    <row r="573" spans="11:36" ht="14.25" customHeight="1" x14ac:dyDescent="0.35"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  <c r="AJ573" s="29"/>
    </row>
    <row r="574" spans="11:36" ht="14.25" customHeight="1" x14ac:dyDescent="0.35"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  <c r="AJ574" s="29"/>
    </row>
    <row r="575" spans="11:36" ht="14.25" customHeight="1" x14ac:dyDescent="0.35"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  <c r="AJ575" s="29"/>
    </row>
    <row r="576" spans="11:36" ht="14.25" customHeight="1" x14ac:dyDescent="0.35"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  <c r="AJ576" s="29"/>
    </row>
    <row r="577" spans="11:36" ht="14.25" customHeight="1" x14ac:dyDescent="0.35"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  <c r="AJ577" s="29"/>
    </row>
    <row r="578" spans="11:36" ht="14.25" customHeight="1" x14ac:dyDescent="0.35"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  <c r="AJ578" s="29"/>
    </row>
    <row r="579" spans="11:36" ht="14.25" customHeight="1" x14ac:dyDescent="0.35"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  <c r="AJ579" s="29"/>
    </row>
    <row r="580" spans="11:36" ht="14.25" customHeight="1" x14ac:dyDescent="0.35"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  <c r="AJ580" s="29"/>
    </row>
    <row r="581" spans="11:36" ht="14.25" customHeight="1" x14ac:dyDescent="0.35"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  <c r="AJ581" s="29"/>
    </row>
    <row r="582" spans="11:36" ht="14.25" customHeight="1" x14ac:dyDescent="0.35"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  <c r="AJ582" s="29"/>
    </row>
    <row r="583" spans="11:36" ht="14.25" customHeight="1" x14ac:dyDescent="0.35"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  <c r="AJ583" s="29"/>
    </row>
    <row r="584" spans="11:36" ht="14.25" customHeight="1" x14ac:dyDescent="0.35"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  <c r="AJ584" s="29"/>
    </row>
    <row r="585" spans="11:36" ht="14.25" customHeight="1" x14ac:dyDescent="0.35"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  <c r="AJ585" s="29"/>
    </row>
    <row r="586" spans="11:36" ht="14.25" customHeight="1" x14ac:dyDescent="0.35"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  <c r="AJ586" s="29"/>
    </row>
    <row r="587" spans="11:36" ht="14.25" customHeight="1" x14ac:dyDescent="0.35"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  <c r="AJ587" s="29"/>
    </row>
    <row r="588" spans="11:36" ht="14.25" customHeight="1" x14ac:dyDescent="0.35"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  <c r="AJ588" s="29"/>
    </row>
    <row r="589" spans="11:36" ht="14.25" customHeight="1" x14ac:dyDescent="0.35"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  <c r="AJ589" s="29"/>
    </row>
    <row r="590" spans="11:36" ht="14.25" customHeight="1" x14ac:dyDescent="0.35"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  <c r="AJ590" s="29"/>
    </row>
    <row r="591" spans="11:36" ht="14.25" customHeight="1" x14ac:dyDescent="0.35"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  <c r="AJ591" s="29"/>
    </row>
    <row r="592" spans="11:36" ht="14.25" customHeight="1" x14ac:dyDescent="0.35"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  <c r="AJ592" s="29"/>
    </row>
    <row r="593" spans="11:36" ht="14.25" customHeight="1" x14ac:dyDescent="0.35"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  <c r="AJ593" s="29"/>
    </row>
    <row r="594" spans="11:36" ht="14.25" customHeight="1" x14ac:dyDescent="0.35"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  <c r="AJ594" s="29"/>
    </row>
    <row r="595" spans="11:36" ht="14.25" customHeight="1" x14ac:dyDescent="0.35"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  <c r="AJ595" s="29"/>
    </row>
    <row r="596" spans="11:36" ht="14.25" customHeight="1" x14ac:dyDescent="0.35"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  <c r="AJ596" s="29"/>
    </row>
    <row r="597" spans="11:36" ht="14.25" customHeight="1" x14ac:dyDescent="0.35"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  <c r="AJ597" s="29"/>
    </row>
    <row r="598" spans="11:36" ht="14.25" customHeight="1" x14ac:dyDescent="0.35"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  <c r="AJ598" s="29"/>
    </row>
    <row r="599" spans="11:36" ht="14.25" customHeight="1" x14ac:dyDescent="0.35"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  <c r="AJ599" s="29"/>
    </row>
    <row r="600" spans="11:36" ht="14.25" customHeight="1" x14ac:dyDescent="0.35"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  <c r="AJ600" s="29"/>
    </row>
    <row r="601" spans="11:36" ht="14.25" customHeight="1" x14ac:dyDescent="0.35"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  <c r="AJ601" s="29"/>
    </row>
    <row r="602" spans="11:36" ht="14.25" customHeight="1" x14ac:dyDescent="0.35"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  <c r="AJ602" s="29"/>
    </row>
    <row r="603" spans="11:36" ht="14.25" customHeight="1" x14ac:dyDescent="0.35"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  <c r="AJ603" s="29"/>
    </row>
    <row r="604" spans="11:36" ht="14.25" customHeight="1" x14ac:dyDescent="0.35"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  <c r="AJ604" s="29"/>
    </row>
    <row r="605" spans="11:36" ht="14.25" customHeight="1" x14ac:dyDescent="0.35"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  <c r="AJ605" s="29"/>
    </row>
    <row r="606" spans="11:36" ht="14.25" customHeight="1" x14ac:dyDescent="0.35"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  <c r="AJ606" s="29"/>
    </row>
    <row r="607" spans="11:36" ht="14.25" customHeight="1" x14ac:dyDescent="0.35"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  <c r="AJ607" s="29"/>
    </row>
    <row r="608" spans="11:36" ht="14.25" customHeight="1" x14ac:dyDescent="0.35"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  <c r="AJ608" s="29"/>
    </row>
    <row r="609" spans="11:36" ht="14.25" customHeight="1" x14ac:dyDescent="0.35"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  <c r="AJ609" s="29"/>
    </row>
    <row r="610" spans="11:36" ht="14.25" customHeight="1" x14ac:dyDescent="0.35"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  <c r="AJ610" s="29"/>
    </row>
    <row r="611" spans="11:36" ht="14.25" customHeight="1" x14ac:dyDescent="0.35"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  <c r="AJ611" s="29"/>
    </row>
    <row r="612" spans="11:36" ht="14.25" customHeight="1" x14ac:dyDescent="0.35"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  <c r="AJ612" s="29"/>
    </row>
    <row r="613" spans="11:36" ht="14.25" customHeight="1" x14ac:dyDescent="0.35"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  <c r="AJ613" s="29"/>
    </row>
    <row r="614" spans="11:36" ht="14.25" customHeight="1" x14ac:dyDescent="0.35"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  <c r="AJ614" s="29"/>
    </row>
    <row r="615" spans="11:36" ht="14.25" customHeight="1" x14ac:dyDescent="0.35"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  <c r="AJ615" s="29"/>
    </row>
    <row r="616" spans="11:36" ht="14.25" customHeight="1" x14ac:dyDescent="0.35"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  <c r="AJ616" s="29"/>
    </row>
    <row r="617" spans="11:36" ht="14.25" customHeight="1" x14ac:dyDescent="0.35"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  <c r="AJ617" s="29"/>
    </row>
    <row r="618" spans="11:36" ht="14.25" customHeight="1" x14ac:dyDescent="0.35"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  <c r="AJ618" s="29"/>
    </row>
    <row r="619" spans="11:36" ht="14.25" customHeight="1" x14ac:dyDescent="0.35"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  <c r="AJ619" s="29"/>
    </row>
    <row r="620" spans="11:36" ht="14.25" customHeight="1" x14ac:dyDescent="0.35"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  <c r="AJ620" s="29"/>
    </row>
    <row r="621" spans="11:36" ht="14.25" customHeight="1" x14ac:dyDescent="0.35"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  <c r="AJ621" s="29"/>
    </row>
    <row r="622" spans="11:36" ht="14.25" customHeight="1" x14ac:dyDescent="0.35"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  <c r="AJ622" s="29"/>
    </row>
    <row r="623" spans="11:36" ht="14.25" customHeight="1" x14ac:dyDescent="0.35"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  <c r="AJ623" s="29"/>
    </row>
    <row r="624" spans="11:36" ht="14.25" customHeight="1" x14ac:dyDescent="0.35"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  <c r="AJ624" s="29"/>
    </row>
    <row r="625" spans="11:36" ht="14.25" customHeight="1" x14ac:dyDescent="0.35"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  <c r="AJ625" s="29"/>
    </row>
    <row r="626" spans="11:36" ht="14.25" customHeight="1" x14ac:dyDescent="0.35"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  <c r="AJ626" s="29"/>
    </row>
    <row r="627" spans="11:36" ht="14.25" customHeight="1" x14ac:dyDescent="0.35"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  <c r="AJ627" s="29"/>
    </row>
    <row r="628" spans="11:36" ht="14.25" customHeight="1" x14ac:dyDescent="0.35"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  <c r="AJ628" s="29"/>
    </row>
    <row r="629" spans="11:36" ht="14.25" customHeight="1" x14ac:dyDescent="0.35"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  <c r="AJ629" s="29"/>
    </row>
    <row r="630" spans="11:36" ht="14.25" customHeight="1" x14ac:dyDescent="0.35"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  <c r="AJ630" s="29"/>
    </row>
    <row r="631" spans="11:36" ht="14.25" customHeight="1" x14ac:dyDescent="0.35"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  <c r="AJ631" s="29"/>
    </row>
    <row r="632" spans="11:36" ht="14.25" customHeight="1" x14ac:dyDescent="0.35"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  <c r="AJ632" s="29"/>
    </row>
    <row r="633" spans="11:36" ht="14.25" customHeight="1" x14ac:dyDescent="0.35"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  <c r="AJ633" s="29"/>
    </row>
    <row r="634" spans="11:36" ht="14.25" customHeight="1" x14ac:dyDescent="0.35"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  <c r="AJ634" s="29"/>
    </row>
    <row r="635" spans="11:36" ht="14.25" customHeight="1" x14ac:dyDescent="0.35"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  <c r="AJ635" s="29"/>
    </row>
    <row r="636" spans="11:36" ht="14.25" customHeight="1" x14ac:dyDescent="0.35"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  <c r="AJ636" s="29"/>
    </row>
    <row r="637" spans="11:36" ht="14.25" customHeight="1" x14ac:dyDescent="0.35"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  <c r="AJ637" s="29"/>
    </row>
    <row r="638" spans="11:36" ht="14.25" customHeight="1" x14ac:dyDescent="0.35"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  <c r="AJ638" s="29"/>
    </row>
    <row r="639" spans="11:36" ht="14.25" customHeight="1" x14ac:dyDescent="0.35"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  <c r="AJ639" s="29"/>
    </row>
    <row r="640" spans="11:36" ht="14.25" customHeight="1" x14ac:dyDescent="0.35"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  <c r="AJ640" s="29"/>
    </row>
    <row r="641" spans="11:36" ht="14.25" customHeight="1" x14ac:dyDescent="0.35"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  <c r="AJ641" s="29"/>
    </row>
    <row r="642" spans="11:36" ht="14.25" customHeight="1" x14ac:dyDescent="0.35"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  <c r="AJ642" s="29"/>
    </row>
    <row r="643" spans="11:36" ht="14.25" customHeight="1" x14ac:dyDescent="0.35"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  <c r="AJ643" s="29"/>
    </row>
    <row r="644" spans="11:36" ht="14.25" customHeight="1" x14ac:dyDescent="0.35"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  <c r="AJ644" s="29"/>
    </row>
    <row r="645" spans="11:36" ht="14.25" customHeight="1" x14ac:dyDescent="0.35"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  <c r="AJ645" s="29"/>
    </row>
    <row r="646" spans="11:36" ht="14.25" customHeight="1" x14ac:dyDescent="0.35"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  <c r="AJ646" s="29"/>
    </row>
    <row r="647" spans="11:36" ht="14.25" customHeight="1" x14ac:dyDescent="0.35"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  <c r="AJ647" s="29"/>
    </row>
    <row r="648" spans="11:36" ht="14.25" customHeight="1" x14ac:dyDescent="0.35"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  <c r="AJ648" s="29"/>
    </row>
    <row r="649" spans="11:36" ht="14.25" customHeight="1" x14ac:dyDescent="0.35"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  <c r="AJ649" s="29"/>
    </row>
    <row r="650" spans="11:36" ht="14.25" customHeight="1" x14ac:dyDescent="0.35"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  <c r="AJ650" s="29"/>
    </row>
    <row r="651" spans="11:36" ht="14.25" customHeight="1" x14ac:dyDescent="0.35"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  <c r="AJ651" s="29"/>
    </row>
    <row r="652" spans="11:36" ht="14.25" customHeight="1" x14ac:dyDescent="0.35"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  <c r="AJ652" s="29"/>
    </row>
    <row r="653" spans="11:36" ht="14.25" customHeight="1" x14ac:dyDescent="0.35"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  <c r="AJ653" s="29"/>
    </row>
    <row r="654" spans="11:36" ht="14.25" customHeight="1" x14ac:dyDescent="0.35"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  <c r="AJ654" s="29"/>
    </row>
    <row r="655" spans="11:36" ht="14.25" customHeight="1" x14ac:dyDescent="0.35"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  <c r="AJ655" s="29"/>
    </row>
    <row r="656" spans="11:36" ht="14.25" customHeight="1" x14ac:dyDescent="0.35"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  <c r="AJ656" s="29"/>
    </row>
    <row r="657" spans="11:36" ht="14.25" customHeight="1" x14ac:dyDescent="0.35"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  <c r="AJ657" s="29"/>
    </row>
    <row r="658" spans="11:36" ht="14.25" customHeight="1" x14ac:dyDescent="0.35"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  <c r="AJ658" s="29"/>
    </row>
    <row r="659" spans="11:36" ht="14.25" customHeight="1" x14ac:dyDescent="0.35"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  <c r="AJ659" s="29"/>
    </row>
    <row r="660" spans="11:36" ht="14.25" customHeight="1" x14ac:dyDescent="0.35"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  <c r="AJ660" s="29"/>
    </row>
    <row r="661" spans="11:36" ht="14.25" customHeight="1" x14ac:dyDescent="0.35"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  <c r="AJ661" s="29"/>
    </row>
    <row r="662" spans="11:36" ht="14.25" customHeight="1" x14ac:dyDescent="0.35"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  <c r="AJ662" s="29"/>
    </row>
    <row r="663" spans="11:36" ht="14.25" customHeight="1" x14ac:dyDescent="0.35"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  <c r="AJ663" s="29"/>
    </row>
    <row r="664" spans="11:36" ht="14.25" customHeight="1" x14ac:dyDescent="0.35"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  <c r="AJ664" s="29"/>
    </row>
    <row r="665" spans="11:36" ht="14.25" customHeight="1" x14ac:dyDescent="0.35"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  <c r="AJ665" s="29"/>
    </row>
    <row r="666" spans="11:36" ht="14.25" customHeight="1" x14ac:dyDescent="0.35"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  <c r="AJ666" s="29"/>
    </row>
    <row r="667" spans="11:36" ht="14.25" customHeight="1" x14ac:dyDescent="0.35"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  <c r="AJ667" s="29"/>
    </row>
    <row r="668" spans="11:36" ht="14.25" customHeight="1" x14ac:dyDescent="0.35"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  <c r="AJ668" s="29"/>
    </row>
    <row r="669" spans="11:36" ht="14.25" customHeight="1" x14ac:dyDescent="0.35"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  <c r="AJ669" s="29"/>
    </row>
    <row r="670" spans="11:36" ht="14.25" customHeight="1" x14ac:dyDescent="0.35"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  <c r="AJ670" s="29"/>
    </row>
    <row r="671" spans="11:36" ht="14.25" customHeight="1" x14ac:dyDescent="0.35"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  <c r="AJ671" s="29"/>
    </row>
    <row r="672" spans="11:36" ht="14.25" customHeight="1" x14ac:dyDescent="0.35"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  <c r="AJ672" s="29"/>
    </row>
    <row r="673" spans="11:36" ht="14.25" customHeight="1" x14ac:dyDescent="0.35"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  <c r="AJ673" s="29"/>
    </row>
    <row r="674" spans="11:36" ht="14.25" customHeight="1" x14ac:dyDescent="0.35"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  <c r="AJ674" s="29"/>
    </row>
    <row r="675" spans="11:36" ht="14.25" customHeight="1" x14ac:dyDescent="0.35"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  <c r="AJ675" s="29"/>
    </row>
    <row r="676" spans="11:36" ht="14.25" customHeight="1" x14ac:dyDescent="0.35"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  <c r="AJ676" s="29"/>
    </row>
    <row r="677" spans="11:36" ht="14.25" customHeight="1" x14ac:dyDescent="0.35"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  <c r="AJ677" s="29"/>
    </row>
    <row r="678" spans="11:36" ht="14.25" customHeight="1" x14ac:dyDescent="0.35"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  <c r="AJ678" s="29"/>
    </row>
    <row r="679" spans="11:36" ht="14.25" customHeight="1" x14ac:dyDescent="0.35"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  <c r="AJ679" s="29"/>
    </row>
    <row r="680" spans="11:36" ht="14.25" customHeight="1" x14ac:dyDescent="0.35"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  <c r="AJ680" s="29"/>
    </row>
    <row r="681" spans="11:36" ht="14.25" customHeight="1" x14ac:dyDescent="0.35"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  <c r="AJ681" s="29"/>
    </row>
    <row r="682" spans="11:36" ht="14.25" customHeight="1" x14ac:dyDescent="0.35"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  <c r="AJ682" s="29"/>
    </row>
    <row r="683" spans="11:36" ht="14.25" customHeight="1" x14ac:dyDescent="0.35"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  <c r="AJ683" s="29"/>
    </row>
    <row r="684" spans="11:36" ht="14.25" customHeight="1" x14ac:dyDescent="0.35"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  <c r="AJ684" s="29"/>
    </row>
    <row r="685" spans="11:36" ht="14.25" customHeight="1" x14ac:dyDescent="0.35"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  <c r="AJ685" s="29"/>
    </row>
    <row r="686" spans="11:36" ht="14.25" customHeight="1" x14ac:dyDescent="0.35"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  <c r="AJ686" s="29"/>
    </row>
    <row r="687" spans="11:36" ht="14.25" customHeight="1" x14ac:dyDescent="0.35"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  <c r="AJ687" s="29"/>
    </row>
    <row r="688" spans="11:36" ht="14.25" customHeight="1" x14ac:dyDescent="0.35"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  <c r="AJ688" s="29"/>
    </row>
    <row r="689" spans="11:36" ht="14.25" customHeight="1" x14ac:dyDescent="0.35"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  <c r="AJ689" s="29"/>
    </row>
    <row r="690" spans="11:36" ht="14.25" customHeight="1" x14ac:dyDescent="0.35"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  <c r="AJ690" s="29"/>
    </row>
    <row r="691" spans="11:36" ht="14.25" customHeight="1" x14ac:dyDescent="0.35"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  <c r="AJ691" s="29"/>
    </row>
    <row r="692" spans="11:36" ht="14.25" customHeight="1" x14ac:dyDescent="0.35"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  <c r="AJ692" s="29"/>
    </row>
    <row r="693" spans="11:36" ht="14.25" customHeight="1" x14ac:dyDescent="0.35"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  <c r="AJ693" s="29"/>
    </row>
    <row r="694" spans="11:36" ht="14.25" customHeight="1" x14ac:dyDescent="0.35"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  <c r="AJ694" s="29"/>
    </row>
    <row r="695" spans="11:36" ht="14.25" customHeight="1" x14ac:dyDescent="0.35"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  <c r="AJ695" s="29"/>
    </row>
    <row r="696" spans="11:36" ht="14.25" customHeight="1" x14ac:dyDescent="0.35"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  <c r="AJ696" s="29"/>
    </row>
    <row r="697" spans="11:36" ht="14.25" customHeight="1" x14ac:dyDescent="0.35"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  <c r="AJ697" s="29"/>
    </row>
    <row r="698" spans="11:36" ht="14.25" customHeight="1" x14ac:dyDescent="0.35"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  <c r="AJ698" s="29"/>
    </row>
    <row r="699" spans="11:36" ht="14.25" customHeight="1" x14ac:dyDescent="0.35"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  <c r="AJ699" s="29"/>
    </row>
    <row r="700" spans="11:36" ht="14.25" customHeight="1" x14ac:dyDescent="0.35"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  <c r="AJ700" s="29"/>
    </row>
    <row r="701" spans="11:36" ht="14.25" customHeight="1" x14ac:dyDescent="0.35"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  <c r="AJ701" s="29"/>
    </row>
    <row r="702" spans="11:36" ht="14.25" customHeight="1" x14ac:dyDescent="0.35"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  <c r="AJ702" s="29"/>
    </row>
    <row r="703" spans="11:36" ht="14.25" customHeight="1" x14ac:dyDescent="0.35"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9"/>
    </row>
    <row r="704" spans="11:36" ht="14.25" customHeight="1" x14ac:dyDescent="0.35"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29"/>
      <c r="AB704" s="29"/>
      <c r="AC704" s="29"/>
      <c r="AD704" s="29"/>
      <c r="AE704" s="29"/>
      <c r="AF704" s="29"/>
      <c r="AG704" s="29"/>
      <c r="AH704" s="29"/>
      <c r="AI704" s="29"/>
      <c r="AJ704" s="29"/>
    </row>
    <row r="705" spans="11:36" ht="14.25" customHeight="1" x14ac:dyDescent="0.35"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29"/>
      <c r="AB705" s="29"/>
      <c r="AC705" s="29"/>
      <c r="AD705" s="29"/>
      <c r="AE705" s="29"/>
      <c r="AF705" s="29"/>
      <c r="AG705" s="29"/>
      <c r="AH705" s="29"/>
      <c r="AI705" s="29"/>
      <c r="AJ705" s="29"/>
    </row>
    <row r="706" spans="11:36" ht="14.25" customHeight="1" x14ac:dyDescent="0.35"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29"/>
      <c r="AB706" s="29"/>
      <c r="AC706" s="29"/>
      <c r="AD706" s="29"/>
      <c r="AE706" s="29"/>
      <c r="AF706" s="29"/>
      <c r="AG706" s="29"/>
      <c r="AH706" s="29"/>
      <c r="AI706" s="29"/>
      <c r="AJ706" s="29"/>
    </row>
    <row r="707" spans="11:36" ht="14.25" customHeight="1" x14ac:dyDescent="0.35"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29"/>
      <c r="AB707" s="29"/>
      <c r="AC707" s="29"/>
      <c r="AD707" s="29"/>
      <c r="AE707" s="29"/>
      <c r="AF707" s="29"/>
      <c r="AG707" s="29"/>
      <c r="AH707" s="29"/>
      <c r="AI707" s="29"/>
      <c r="AJ707" s="29"/>
    </row>
    <row r="708" spans="11:36" ht="14.25" customHeight="1" x14ac:dyDescent="0.35"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29"/>
      <c r="AB708" s="29"/>
      <c r="AC708" s="29"/>
      <c r="AD708" s="29"/>
      <c r="AE708" s="29"/>
      <c r="AF708" s="29"/>
      <c r="AG708" s="29"/>
      <c r="AH708" s="29"/>
      <c r="AI708" s="29"/>
      <c r="AJ708" s="29"/>
    </row>
    <row r="709" spans="11:36" ht="14.25" customHeight="1" x14ac:dyDescent="0.35"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29"/>
      <c r="AB709" s="29"/>
      <c r="AC709" s="29"/>
      <c r="AD709" s="29"/>
      <c r="AE709" s="29"/>
      <c r="AF709" s="29"/>
      <c r="AG709" s="29"/>
      <c r="AH709" s="29"/>
      <c r="AI709" s="29"/>
      <c r="AJ709" s="29"/>
    </row>
    <row r="710" spans="11:36" ht="14.25" customHeight="1" x14ac:dyDescent="0.35"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29"/>
      <c r="AB710" s="29"/>
      <c r="AC710" s="29"/>
      <c r="AD710" s="29"/>
      <c r="AE710" s="29"/>
      <c r="AF710" s="29"/>
      <c r="AG710" s="29"/>
      <c r="AH710" s="29"/>
      <c r="AI710" s="29"/>
      <c r="AJ710" s="29"/>
    </row>
    <row r="711" spans="11:36" ht="14.25" customHeight="1" x14ac:dyDescent="0.35"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29"/>
      <c r="AB711" s="29"/>
      <c r="AC711" s="29"/>
      <c r="AD711" s="29"/>
      <c r="AE711" s="29"/>
      <c r="AF711" s="29"/>
      <c r="AG711" s="29"/>
      <c r="AH711" s="29"/>
      <c r="AI711" s="29"/>
      <c r="AJ711" s="29"/>
    </row>
    <row r="712" spans="11:36" ht="14.25" customHeight="1" x14ac:dyDescent="0.35"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29"/>
      <c r="AB712" s="29"/>
      <c r="AC712" s="29"/>
      <c r="AD712" s="29"/>
      <c r="AE712" s="29"/>
      <c r="AF712" s="29"/>
      <c r="AG712" s="29"/>
      <c r="AH712" s="29"/>
      <c r="AI712" s="29"/>
      <c r="AJ712" s="29"/>
    </row>
    <row r="713" spans="11:36" ht="14.25" customHeight="1" x14ac:dyDescent="0.35"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29"/>
      <c r="AB713" s="29"/>
      <c r="AC713" s="29"/>
      <c r="AD713" s="29"/>
      <c r="AE713" s="29"/>
      <c r="AF713" s="29"/>
      <c r="AG713" s="29"/>
      <c r="AH713" s="29"/>
      <c r="AI713" s="29"/>
      <c r="AJ713" s="29"/>
    </row>
    <row r="714" spans="11:36" ht="14.25" customHeight="1" x14ac:dyDescent="0.35"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29"/>
      <c r="AB714" s="29"/>
      <c r="AC714" s="29"/>
      <c r="AD714" s="29"/>
      <c r="AE714" s="29"/>
      <c r="AF714" s="29"/>
      <c r="AG714" s="29"/>
      <c r="AH714" s="29"/>
      <c r="AI714" s="29"/>
      <c r="AJ714" s="29"/>
    </row>
    <row r="715" spans="11:36" ht="14.25" customHeight="1" x14ac:dyDescent="0.35"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29"/>
      <c r="AB715" s="29"/>
      <c r="AC715" s="29"/>
      <c r="AD715" s="29"/>
      <c r="AE715" s="29"/>
      <c r="AF715" s="29"/>
      <c r="AG715" s="29"/>
      <c r="AH715" s="29"/>
      <c r="AI715" s="29"/>
      <c r="AJ715" s="29"/>
    </row>
    <row r="716" spans="11:36" ht="14.25" customHeight="1" x14ac:dyDescent="0.35"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29"/>
      <c r="AB716" s="29"/>
      <c r="AC716" s="29"/>
      <c r="AD716" s="29"/>
      <c r="AE716" s="29"/>
      <c r="AF716" s="29"/>
      <c r="AG716" s="29"/>
      <c r="AH716" s="29"/>
      <c r="AI716" s="29"/>
      <c r="AJ716" s="29"/>
    </row>
    <row r="717" spans="11:36" ht="14.25" customHeight="1" x14ac:dyDescent="0.35"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29"/>
      <c r="AB717" s="29"/>
      <c r="AC717" s="29"/>
      <c r="AD717" s="29"/>
      <c r="AE717" s="29"/>
      <c r="AF717" s="29"/>
      <c r="AG717" s="29"/>
      <c r="AH717" s="29"/>
      <c r="AI717" s="29"/>
      <c r="AJ717" s="29"/>
    </row>
    <row r="718" spans="11:36" ht="14.25" customHeight="1" x14ac:dyDescent="0.35"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29"/>
      <c r="AB718" s="29"/>
      <c r="AC718" s="29"/>
      <c r="AD718" s="29"/>
      <c r="AE718" s="29"/>
      <c r="AF718" s="29"/>
      <c r="AG718" s="29"/>
      <c r="AH718" s="29"/>
      <c r="AI718" s="29"/>
      <c r="AJ718" s="29"/>
    </row>
    <row r="719" spans="11:36" ht="14.25" customHeight="1" x14ac:dyDescent="0.35"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29"/>
      <c r="AB719" s="29"/>
      <c r="AC719" s="29"/>
      <c r="AD719" s="29"/>
      <c r="AE719" s="29"/>
      <c r="AF719" s="29"/>
      <c r="AG719" s="29"/>
      <c r="AH719" s="29"/>
      <c r="AI719" s="29"/>
      <c r="AJ719" s="29"/>
    </row>
    <row r="720" spans="11:36" ht="14.25" customHeight="1" x14ac:dyDescent="0.35"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29"/>
      <c r="AB720" s="29"/>
      <c r="AC720" s="29"/>
      <c r="AD720" s="29"/>
      <c r="AE720" s="29"/>
      <c r="AF720" s="29"/>
      <c r="AG720" s="29"/>
      <c r="AH720" s="29"/>
      <c r="AI720" s="29"/>
      <c r="AJ720" s="29"/>
    </row>
    <row r="721" spans="11:36" ht="14.25" customHeight="1" x14ac:dyDescent="0.35"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29"/>
      <c r="AB721" s="29"/>
      <c r="AC721" s="29"/>
      <c r="AD721" s="29"/>
      <c r="AE721" s="29"/>
      <c r="AF721" s="29"/>
      <c r="AG721" s="29"/>
      <c r="AH721" s="29"/>
      <c r="AI721" s="29"/>
      <c r="AJ721" s="29"/>
    </row>
    <row r="722" spans="11:36" ht="14.25" customHeight="1" x14ac:dyDescent="0.35"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29"/>
      <c r="AB722" s="29"/>
      <c r="AC722" s="29"/>
      <c r="AD722" s="29"/>
      <c r="AE722" s="29"/>
      <c r="AF722" s="29"/>
      <c r="AG722" s="29"/>
      <c r="AH722" s="29"/>
      <c r="AI722" s="29"/>
      <c r="AJ722" s="29"/>
    </row>
    <row r="723" spans="11:36" ht="14.25" customHeight="1" x14ac:dyDescent="0.35"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29"/>
      <c r="AB723" s="29"/>
      <c r="AC723" s="29"/>
      <c r="AD723" s="29"/>
      <c r="AE723" s="29"/>
      <c r="AF723" s="29"/>
      <c r="AG723" s="29"/>
      <c r="AH723" s="29"/>
      <c r="AI723" s="29"/>
      <c r="AJ723" s="29"/>
    </row>
    <row r="724" spans="11:36" ht="14.25" customHeight="1" x14ac:dyDescent="0.35"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29"/>
      <c r="AB724" s="29"/>
      <c r="AC724" s="29"/>
      <c r="AD724" s="29"/>
      <c r="AE724" s="29"/>
      <c r="AF724" s="29"/>
      <c r="AG724" s="29"/>
      <c r="AH724" s="29"/>
      <c r="AI724" s="29"/>
      <c r="AJ724" s="29"/>
    </row>
    <row r="725" spans="11:36" ht="14.25" customHeight="1" x14ac:dyDescent="0.35"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29"/>
      <c r="AB725" s="29"/>
      <c r="AC725" s="29"/>
      <c r="AD725" s="29"/>
      <c r="AE725" s="29"/>
      <c r="AF725" s="29"/>
      <c r="AG725" s="29"/>
      <c r="AH725" s="29"/>
      <c r="AI725" s="29"/>
      <c r="AJ725" s="29"/>
    </row>
    <row r="726" spans="11:36" ht="14.25" customHeight="1" x14ac:dyDescent="0.35"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29"/>
      <c r="AB726" s="29"/>
      <c r="AC726" s="29"/>
      <c r="AD726" s="29"/>
      <c r="AE726" s="29"/>
      <c r="AF726" s="29"/>
      <c r="AG726" s="29"/>
      <c r="AH726" s="29"/>
      <c r="AI726" s="29"/>
      <c r="AJ726" s="29"/>
    </row>
    <row r="727" spans="11:36" ht="14.25" customHeight="1" x14ac:dyDescent="0.35"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29"/>
      <c r="AB727" s="29"/>
      <c r="AC727" s="29"/>
      <c r="AD727" s="29"/>
      <c r="AE727" s="29"/>
      <c r="AF727" s="29"/>
      <c r="AG727" s="29"/>
      <c r="AH727" s="29"/>
      <c r="AI727" s="29"/>
      <c r="AJ727" s="29"/>
    </row>
    <row r="728" spans="11:36" ht="14.25" customHeight="1" x14ac:dyDescent="0.35"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29"/>
      <c r="AB728" s="29"/>
      <c r="AC728" s="29"/>
      <c r="AD728" s="29"/>
      <c r="AE728" s="29"/>
      <c r="AF728" s="29"/>
      <c r="AG728" s="29"/>
      <c r="AH728" s="29"/>
      <c r="AI728" s="29"/>
      <c r="AJ728" s="29"/>
    </row>
    <row r="729" spans="11:36" ht="14.25" customHeight="1" x14ac:dyDescent="0.35"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29"/>
      <c r="AB729" s="29"/>
      <c r="AC729" s="29"/>
      <c r="AD729" s="29"/>
      <c r="AE729" s="29"/>
      <c r="AF729" s="29"/>
      <c r="AG729" s="29"/>
      <c r="AH729" s="29"/>
      <c r="AI729" s="29"/>
      <c r="AJ729" s="29"/>
    </row>
    <row r="730" spans="11:36" ht="14.25" customHeight="1" x14ac:dyDescent="0.35"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29"/>
      <c r="AB730" s="29"/>
      <c r="AC730" s="29"/>
      <c r="AD730" s="29"/>
      <c r="AE730" s="29"/>
      <c r="AF730" s="29"/>
      <c r="AG730" s="29"/>
      <c r="AH730" s="29"/>
      <c r="AI730" s="29"/>
      <c r="AJ730" s="29"/>
    </row>
    <row r="731" spans="11:36" ht="14.25" customHeight="1" x14ac:dyDescent="0.35"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29"/>
      <c r="AB731" s="29"/>
      <c r="AC731" s="29"/>
      <c r="AD731" s="29"/>
      <c r="AE731" s="29"/>
      <c r="AF731" s="29"/>
      <c r="AG731" s="29"/>
      <c r="AH731" s="29"/>
      <c r="AI731" s="29"/>
      <c r="AJ731" s="29"/>
    </row>
    <row r="732" spans="11:36" ht="14.25" customHeight="1" x14ac:dyDescent="0.35"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29"/>
      <c r="AB732" s="29"/>
      <c r="AC732" s="29"/>
      <c r="AD732" s="29"/>
      <c r="AE732" s="29"/>
      <c r="AF732" s="29"/>
      <c r="AG732" s="29"/>
      <c r="AH732" s="29"/>
      <c r="AI732" s="29"/>
      <c r="AJ732" s="29"/>
    </row>
    <row r="733" spans="11:36" ht="14.25" customHeight="1" x14ac:dyDescent="0.35"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29"/>
      <c r="AB733" s="29"/>
      <c r="AC733" s="29"/>
      <c r="AD733" s="29"/>
      <c r="AE733" s="29"/>
      <c r="AF733" s="29"/>
      <c r="AG733" s="29"/>
      <c r="AH733" s="29"/>
      <c r="AI733" s="29"/>
      <c r="AJ733" s="29"/>
    </row>
    <row r="734" spans="11:36" ht="14.25" customHeight="1" x14ac:dyDescent="0.35"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29"/>
      <c r="AB734" s="29"/>
      <c r="AC734" s="29"/>
      <c r="AD734" s="29"/>
      <c r="AE734" s="29"/>
      <c r="AF734" s="29"/>
      <c r="AG734" s="29"/>
      <c r="AH734" s="29"/>
      <c r="AI734" s="29"/>
      <c r="AJ734" s="29"/>
    </row>
    <row r="735" spans="11:36" ht="14.25" customHeight="1" x14ac:dyDescent="0.35"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29"/>
      <c r="AB735" s="29"/>
      <c r="AC735" s="29"/>
      <c r="AD735" s="29"/>
      <c r="AE735" s="29"/>
      <c r="AF735" s="29"/>
      <c r="AG735" s="29"/>
      <c r="AH735" s="29"/>
      <c r="AI735" s="29"/>
      <c r="AJ735" s="29"/>
    </row>
    <row r="736" spans="11:36" ht="14.25" customHeight="1" x14ac:dyDescent="0.35"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29"/>
      <c r="AB736" s="29"/>
      <c r="AC736" s="29"/>
      <c r="AD736" s="29"/>
      <c r="AE736" s="29"/>
      <c r="AF736" s="29"/>
      <c r="AG736" s="29"/>
      <c r="AH736" s="29"/>
      <c r="AI736" s="29"/>
      <c r="AJ736" s="29"/>
    </row>
    <row r="737" spans="11:36" ht="14.25" customHeight="1" x14ac:dyDescent="0.35"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29"/>
      <c r="AB737" s="29"/>
      <c r="AC737" s="29"/>
      <c r="AD737" s="29"/>
      <c r="AE737" s="29"/>
      <c r="AF737" s="29"/>
      <c r="AG737" s="29"/>
      <c r="AH737" s="29"/>
      <c r="AI737" s="29"/>
      <c r="AJ737" s="29"/>
    </row>
    <row r="738" spans="11:36" ht="14.25" customHeight="1" x14ac:dyDescent="0.35"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29"/>
      <c r="AB738" s="29"/>
      <c r="AC738" s="29"/>
      <c r="AD738" s="29"/>
      <c r="AE738" s="29"/>
      <c r="AF738" s="29"/>
      <c r="AG738" s="29"/>
      <c r="AH738" s="29"/>
      <c r="AI738" s="29"/>
      <c r="AJ738" s="29"/>
    </row>
    <row r="739" spans="11:36" ht="14.25" customHeight="1" x14ac:dyDescent="0.35"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29"/>
      <c r="AB739" s="29"/>
      <c r="AC739" s="29"/>
      <c r="AD739" s="29"/>
      <c r="AE739" s="29"/>
      <c r="AF739" s="29"/>
      <c r="AG739" s="29"/>
      <c r="AH739" s="29"/>
      <c r="AI739" s="29"/>
      <c r="AJ739" s="29"/>
    </row>
    <row r="740" spans="11:36" ht="14.25" customHeight="1" x14ac:dyDescent="0.35"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29"/>
      <c r="AB740" s="29"/>
      <c r="AC740" s="29"/>
      <c r="AD740" s="29"/>
      <c r="AE740" s="29"/>
      <c r="AF740" s="29"/>
      <c r="AG740" s="29"/>
      <c r="AH740" s="29"/>
      <c r="AI740" s="29"/>
      <c r="AJ740" s="29"/>
    </row>
    <row r="741" spans="11:36" ht="14.25" customHeight="1" x14ac:dyDescent="0.35"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29"/>
      <c r="AB741" s="29"/>
      <c r="AC741" s="29"/>
      <c r="AD741" s="29"/>
      <c r="AE741" s="29"/>
      <c r="AF741" s="29"/>
      <c r="AG741" s="29"/>
      <c r="AH741" s="29"/>
      <c r="AI741" s="29"/>
      <c r="AJ741" s="29"/>
    </row>
    <row r="742" spans="11:36" ht="14.25" customHeight="1" x14ac:dyDescent="0.35"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29"/>
      <c r="AB742" s="29"/>
      <c r="AC742" s="29"/>
      <c r="AD742" s="29"/>
      <c r="AE742" s="29"/>
      <c r="AF742" s="29"/>
      <c r="AG742" s="29"/>
      <c r="AH742" s="29"/>
      <c r="AI742" s="29"/>
      <c r="AJ742" s="29"/>
    </row>
    <row r="743" spans="11:36" ht="14.25" customHeight="1" x14ac:dyDescent="0.35"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29"/>
      <c r="AB743" s="29"/>
      <c r="AC743" s="29"/>
      <c r="AD743" s="29"/>
      <c r="AE743" s="29"/>
      <c r="AF743" s="29"/>
      <c r="AG743" s="29"/>
      <c r="AH743" s="29"/>
      <c r="AI743" s="29"/>
      <c r="AJ743" s="29"/>
    </row>
    <row r="744" spans="11:36" ht="14.25" customHeight="1" x14ac:dyDescent="0.35"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29"/>
      <c r="AB744" s="29"/>
      <c r="AC744" s="29"/>
      <c r="AD744" s="29"/>
      <c r="AE744" s="29"/>
      <c r="AF744" s="29"/>
      <c r="AG744" s="29"/>
      <c r="AH744" s="29"/>
      <c r="AI744" s="29"/>
      <c r="AJ744" s="29"/>
    </row>
    <row r="745" spans="11:36" ht="14.25" customHeight="1" x14ac:dyDescent="0.35"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29"/>
      <c r="AB745" s="29"/>
      <c r="AC745" s="29"/>
      <c r="AD745" s="29"/>
      <c r="AE745" s="29"/>
      <c r="AF745" s="29"/>
      <c r="AG745" s="29"/>
      <c r="AH745" s="29"/>
      <c r="AI745" s="29"/>
      <c r="AJ745" s="29"/>
    </row>
    <row r="746" spans="11:36" ht="14.25" customHeight="1" x14ac:dyDescent="0.35"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29"/>
      <c r="AB746" s="29"/>
      <c r="AC746" s="29"/>
      <c r="AD746" s="29"/>
      <c r="AE746" s="29"/>
      <c r="AF746" s="29"/>
      <c r="AG746" s="29"/>
      <c r="AH746" s="29"/>
      <c r="AI746" s="29"/>
      <c r="AJ746" s="29"/>
    </row>
    <row r="747" spans="11:36" ht="14.25" customHeight="1" x14ac:dyDescent="0.35"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29"/>
      <c r="AB747" s="29"/>
      <c r="AC747" s="29"/>
      <c r="AD747" s="29"/>
      <c r="AE747" s="29"/>
      <c r="AF747" s="29"/>
      <c r="AG747" s="29"/>
      <c r="AH747" s="29"/>
      <c r="AI747" s="29"/>
      <c r="AJ747" s="29"/>
    </row>
    <row r="748" spans="11:36" ht="14.25" customHeight="1" x14ac:dyDescent="0.35"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29"/>
      <c r="AB748" s="29"/>
      <c r="AC748" s="29"/>
      <c r="AD748" s="29"/>
      <c r="AE748" s="29"/>
      <c r="AF748" s="29"/>
      <c r="AG748" s="29"/>
      <c r="AH748" s="29"/>
      <c r="AI748" s="29"/>
      <c r="AJ748" s="29"/>
    </row>
    <row r="749" spans="11:36" ht="14.25" customHeight="1" x14ac:dyDescent="0.35"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29"/>
      <c r="AB749" s="29"/>
      <c r="AC749" s="29"/>
      <c r="AD749" s="29"/>
      <c r="AE749" s="29"/>
      <c r="AF749" s="29"/>
      <c r="AG749" s="29"/>
      <c r="AH749" s="29"/>
      <c r="AI749" s="29"/>
      <c r="AJ749" s="29"/>
    </row>
    <row r="750" spans="11:36" ht="14.25" customHeight="1" x14ac:dyDescent="0.35"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29"/>
      <c r="AB750" s="29"/>
      <c r="AC750" s="29"/>
      <c r="AD750" s="29"/>
      <c r="AE750" s="29"/>
      <c r="AF750" s="29"/>
      <c r="AG750" s="29"/>
      <c r="AH750" s="29"/>
      <c r="AI750" s="29"/>
      <c r="AJ750" s="29"/>
    </row>
    <row r="751" spans="11:36" ht="14.25" customHeight="1" x14ac:dyDescent="0.35"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29"/>
      <c r="AB751" s="29"/>
      <c r="AC751" s="29"/>
      <c r="AD751" s="29"/>
      <c r="AE751" s="29"/>
      <c r="AF751" s="29"/>
      <c r="AG751" s="29"/>
      <c r="AH751" s="29"/>
      <c r="AI751" s="29"/>
      <c r="AJ751" s="29"/>
    </row>
    <row r="752" spans="11:36" ht="14.25" customHeight="1" x14ac:dyDescent="0.35"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29"/>
      <c r="AB752" s="29"/>
      <c r="AC752" s="29"/>
      <c r="AD752" s="29"/>
      <c r="AE752" s="29"/>
      <c r="AF752" s="29"/>
      <c r="AG752" s="29"/>
      <c r="AH752" s="29"/>
      <c r="AI752" s="29"/>
      <c r="AJ752" s="29"/>
    </row>
    <row r="753" spans="11:36" ht="14.25" customHeight="1" x14ac:dyDescent="0.35"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29"/>
      <c r="AB753" s="29"/>
      <c r="AC753" s="29"/>
      <c r="AD753" s="29"/>
      <c r="AE753" s="29"/>
      <c r="AF753" s="29"/>
      <c r="AG753" s="29"/>
      <c r="AH753" s="29"/>
      <c r="AI753" s="29"/>
      <c r="AJ753" s="29"/>
    </row>
    <row r="754" spans="11:36" ht="14.25" customHeight="1" x14ac:dyDescent="0.35"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29"/>
      <c r="AB754" s="29"/>
      <c r="AC754" s="29"/>
      <c r="AD754" s="29"/>
      <c r="AE754" s="29"/>
      <c r="AF754" s="29"/>
      <c r="AG754" s="29"/>
      <c r="AH754" s="29"/>
      <c r="AI754" s="29"/>
      <c r="AJ754" s="29"/>
    </row>
    <row r="755" spans="11:36" ht="14.25" customHeight="1" x14ac:dyDescent="0.35"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29"/>
      <c r="AB755" s="29"/>
      <c r="AC755" s="29"/>
      <c r="AD755" s="29"/>
      <c r="AE755" s="29"/>
      <c r="AF755" s="29"/>
      <c r="AG755" s="29"/>
      <c r="AH755" s="29"/>
      <c r="AI755" s="29"/>
      <c r="AJ755" s="29"/>
    </row>
    <row r="756" spans="11:36" ht="14.25" customHeight="1" x14ac:dyDescent="0.35"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29"/>
      <c r="AB756" s="29"/>
      <c r="AC756" s="29"/>
      <c r="AD756" s="29"/>
      <c r="AE756" s="29"/>
      <c r="AF756" s="29"/>
      <c r="AG756" s="29"/>
      <c r="AH756" s="29"/>
      <c r="AI756" s="29"/>
      <c r="AJ756" s="29"/>
    </row>
    <row r="757" spans="11:36" ht="14.25" customHeight="1" x14ac:dyDescent="0.35"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29"/>
      <c r="AB757" s="29"/>
      <c r="AC757" s="29"/>
      <c r="AD757" s="29"/>
      <c r="AE757" s="29"/>
      <c r="AF757" s="29"/>
      <c r="AG757" s="29"/>
      <c r="AH757" s="29"/>
      <c r="AI757" s="29"/>
      <c r="AJ757" s="29"/>
    </row>
    <row r="758" spans="11:36" ht="14.25" customHeight="1" x14ac:dyDescent="0.35"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29"/>
      <c r="AB758" s="29"/>
      <c r="AC758" s="29"/>
      <c r="AD758" s="29"/>
      <c r="AE758" s="29"/>
      <c r="AF758" s="29"/>
      <c r="AG758" s="29"/>
      <c r="AH758" s="29"/>
      <c r="AI758" s="29"/>
      <c r="AJ758" s="29"/>
    </row>
    <row r="759" spans="11:36" ht="14.25" customHeight="1" x14ac:dyDescent="0.35"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29"/>
      <c r="AB759" s="29"/>
      <c r="AC759" s="29"/>
      <c r="AD759" s="29"/>
      <c r="AE759" s="29"/>
      <c r="AF759" s="29"/>
      <c r="AG759" s="29"/>
      <c r="AH759" s="29"/>
      <c r="AI759" s="29"/>
      <c r="AJ759" s="29"/>
    </row>
    <row r="760" spans="11:36" ht="14.25" customHeight="1" x14ac:dyDescent="0.35"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29"/>
      <c r="AB760" s="29"/>
      <c r="AC760" s="29"/>
      <c r="AD760" s="29"/>
      <c r="AE760" s="29"/>
      <c r="AF760" s="29"/>
      <c r="AG760" s="29"/>
      <c r="AH760" s="29"/>
      <c r="AI760" s="29"/>
      <c r="AJ760" s="29"/>
    </row>
    <row r="761" spans="11:36" ht="14.25" customHeight="1" x14ac:dyDescent="0.35"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29"/>
      <c r="AB761" s="29"/>
      <c r="AC761" s="29"/>
      <c r="AD761" s="29"/>
      <c r="AE761" s="29"/>
      <c r="AF761" s="29"/>
      <c r="AG761" s="29"/>
      <c r="AH761" s="29"/>
      <c r="AI761" s="29"/>
      <c r="AJ761" s="29"/>
    </row>
    <row r="762" spans="11:36" ht="14.25" customHeight="1" x14ac:dyDescent="0.35"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29"/>
      <c r="AB762" s="29"/>
      <c r="AC762" s="29"/>
      <c r="AD762" s="29"/>
      <c r="AE762" s="29"/>
      <c r="AF762" s="29"/>
      <c r="AG762" s="29"/>
      <c r="AH762" s="29"/>
      <c r="AI762" s="29"/>
      <c r="AJ762" s="29"/>
    </row>
    <row r="763" spans="11:36" ht="14.25" customHeight="1" x14ac:dyDescent="0.35"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29"/>
      <c r="AB763" s="29"/>
      <c r="AC763" s="29"/>
      <c r="AD763" s="29"/>
      <c r="AE763" s="29"/>
      <c r="AF763" s="29"/>
      <c r="AG763" s="29"/>
      <c r="AH763" s="29"/>
      <c r="AI763" s="29"/>
      <c r="AJ763" s="29"/>
    </row>
    <row r="764" spans="11:36" ht="14.25" customHeight="1" x14ac:dyDescent="0.35"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29"/>
      <c r="AB764" s="29"/>
      <c r="AC764" s="29"/>
      <c r="AD764" s="29"/>
      <c r="AE764" s="29"/>
      <c r="AF764" s="29"/>
      <c r="AG764" s="29"/>
      <c r="AH764" s="29"/>
      <c r="AI764" s="29"/>
      <c r="AJ764" s="29"/>
    </row>
    <row r="765" spans="11:36" ht="14.25" customHeight="1" x14ac:dyDescent="0.35"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29"/>
      <c r="AB765" s="29"/>
      <c r="AC765" s="29"/>
      <c r="AD765" s="29"/>
      <c r="AE765" s="29"/>
      <c r="AF765" s="29"/>
      <c r="AG765" s="29"/>
      <c r="AH765" s="29"/>
      <c r="AI765" s="29"/>
      <c r="AJ765" s="29"/>
    </row>
    <row r="766" spans="11:36" ht="14.25" customHeight="1" x14ac:dyDescent="0.35"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29"/>
      <c r="AB766" s="29"/>
      <c r="AC766" s="29"/>
      <c r="AD766" s="29"/>
      <c r="AE766" s="29"/>
      <c r="AF766" s="29"/>
      <c r="AG766" s="29"/>
      <c r="AH766" s="29"/>
      <c r="AI766" s="29"/>
      <c r="AJ766" s="29"/>
    </row>
    <row r="767" spans="11:36" ht="14.25" customHeight="1" x14ac:dyDescent="0.35"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29"/>
      <c r="AB767" s="29"/>
      <c r="AC767" s="29"/>
      <c r="AD767" s="29"/>
      <c r="AE767" s="29"/>
      <c r="AF767" s="29"/>
      <c r="AG767" s="29"/>
      <c r="AH767" s="29"/>
      <c r="AI767" s="29"/>
      <c r="AJ767" s="29"/>
    </row>
    <row r="768" spans="11:36" ht="14.25" customHeight="1" x14ac:dyDescent="0.35"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29"/>
      <c r="AB768" s="29"/>
      <c r="AC768" s="29"/>
      <c r="AD768" s="29"/>
      <c r="AE768" s="29"/>
      <c r="AF768" s="29"/>
      <c r="AG768" s="29"/>
      <c r="AH768" s="29"/>
      <c r="AI768" s="29"/>
      <c r="AJ768" s="29"/>
    </row>
    <row r="769" spans="11:36" ht="14.25" customHeight="1" x14ac:dyDescent="0.35"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29"/>
      <c r="AB769" s="29"/>
      <c r="AC769" s="29"/>
      <c r="AD769" s="29"/>
      <c r="AE769" s="29"/>
      <c r="AF769" s="29"/>
      <c r="AG769" s="29"/>
      <c r="AH769" s="29"/>
      <c r="AI769" s="29"/>
      <c r="AJ769" s="29"/>
    </row>
    <row r="770" spans="11:36" ht="14.25" customHeight="1" x14ac:dyDescent="0.35"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29"/>
      <c r="AB770" s="29"/>
      <c r="AC770" s="29"/>
      <c r="AD770" s="29"/>
      <c r="AE770" s="29"/>
      <c r="AF770" s="29"/>
      <c r="AG770" s="29"/>
      <c r="AH770" s="29"/>
      <c r="AI770" s="29"/>
      <c r="AJ770" s="29"/>
    </row>
    <row r="771" spans="11:36" ht="14.25" customHeight="1" x14ac:dyDescent="0.35"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29"/>
      <c r="AB771" s="29"/>
      <c r="AC771" s="29"/>
      <c r="AD771" s="29"/>
      <c r="AE771" s="29"/>
      <c r="AF771" s="29"/>
      <c r="AG771" s="29"/>
      <c r="AH771" s="29"/>
      <c r="AI771" s="29"/>
      <c r="AJ771" s="29"/>
    </row>
    <row r="772" spans="11:36" ht="14.25" customHeight="1" x14ac:dyDescent="0.35"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29"/>
      <c r="AB772" s="29"/>
      <c r="AC772" s="29"/>
      <c r="AD772" s="29"/>
      <c r="AE772" s="29"/>
      <c r="AF772" s="29"/>
      <c r="AG772" s="29"/>
      <c r="AH772" s="29"/>
      <c r="AI772" s="29"/>
      <c r="AJ772" s="29"/>
    </row>
    <row r="773" spans="11:36" ht="14.25" customHeight="1" x14ac:dyDescent="0.35"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29"/>
      <c r="AB773" s="29"/>
      <c r="AC773" s="29"/>
      <c r="AD773" s="29"/>
      <c r="AE773" s="29"/>
      <c r="AF773" s="29"/>
      <c r="AG773" s="29"/>
      <c r="AH773" s="29"/>
      <c r="AI773" s="29"/>
      <c r="AJ773" s="29"/>
    </row>
    <row r="774" spans="11:36" ht="14.25" customHeight="1" x14ac:dyDescent="0.35"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29"/>
      <c r="AB774" s="29"/>
      <c r="AC774" s="29"/>
      <c r="AD774" s="29"/>
      <c r="AE774" s="29"/>
      <c r="AF774" s="29"/>
      <c r="AG774" s="29"/>
      <c r="AH774" s="29"/>
      <c r="AI774" s="29"/>
      <c r="AJ774" s="29"/>
    </row>
    <row r="775" spans="11:36" ht="14.25" customHeight="1" x14ac:dyDescent="0.35"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29"/>
      <c r="AB775" s="29"/>
      <c r="AC775" s="29"/>
      <c r="AD775" s="29"/>
      <c r="AE775" s="29"/>
      <c r="AF775" s="29"/>
      <c r="AG775" s="29"/>
      <c r="AH775" s="29"/>
      <c r="AI775" s="29"/>
      <c r="AJ775" s="29"/>
    </row>
    <row r="776" spans="11:36" ht="14.25" customHeight="1" x14ac:dyDescent="0.35"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29"/>
      <c r="AB776" s="29"/>
      <c r="AC776" s="29"/>
      <c r="AD776" s="29"/>
      <c r="AE776" s="29"/>
      <c r="AF776" s="29"/>
      <c r="AG776" s="29"/>
      <c r="AH776" s="29"/>
      <c r="AI776" s="29"/>
      <c r="AJ776" s="29"/>
    </row>
    <row r="777" spans="11:36" ht="14.25" customHeight="1" x14ac:dyDescent="0.35"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29"/>
      <c r="AB777" s="29"/>
      <c r="AC777" s="29"/>
      <c r="AD777" s="29"/>
      <c r="AE777" s="29"/>
      <c r="AF777" s="29"/>
      <c r="AG777" s="29"/>
      <c r="AH777" s="29"/>
      <c r="AI777" s="29"/>
      <c r="AJ777" s="29"/>
    </row>
    <row r="778" spans="11:36" ht="14.25" customHeight="1" x14ac:dyDescent="0.35"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29"/>
      <c r="AB778" s="29"/>
      <c r="AC778" s="29"/>
      <c r="AD778" s="29"/>
      <c r="AE778" s="29"/>
      <c r="AF778" s="29"/>
      <c r="AG778" s="29"/>
      <c r="AH778" s="29"/>
      <c r="AI778" s="29"/>
      <c r="AJ778" s="29"/>
    </row>
    <row r="779" spans="11:36" ht="14.25" customHeight="1" x14ac:dyDescent="0.35"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29"/>
      <c r="AB779" s="29"/>
      <c r="AC779" s="29"/>
      <c r="AD779" s="29"/>
      <c r="AE779" s="29"/>
      <c r="AF779" s="29"/>
      <c r="AG779" s="29"/>
      <c r="AH779" s="29"/>
      <c r="AI779" s="29"/>
      <c r="AJ779" s="29"/>
    </row>
    <row r="780" spans="11:36" ht="14.25" customHeight="1" x14ac:dyDescent="0.35"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29"/>
      <c r="AB780" s="29"/>
      <c r="AC780" s="29"/>
      <c r="AD780" s="29"/>
      <c r="AE780" s="29"/>
      <c r="AF780" s="29"/>
      <c r="AG780" s="29"/>
      <c r="AH780" s="29"/>
      <c r="AI780" s="29"/>
      <c r="AJ780" s="29"/>
    </row>
    <row r="781" spans="11:36" ht="14.25" customHeight="1" x14ac:dyDescent="0.35"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29"/>
      <c r="AB781" s="29"/>
      <c r="AC781" s="29"/>
      <c r="AD781" s="29"/>
      <c r="AE781" s="29"/>
      <c r="AF781" s="29"/>
      <c r="AG781" s="29"/>
      <c r="AH781" s="29"/>
      <c r="AI781" s="29"/>
      <c r="AJ781" s="29"/>
    </row>
    <row r="782" spans="11:36" ht="14.25" customHeight="1" x14ac:dyDescent="0.35"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29"/>
      <c r="AB782" s="29"/>
      <c r="AC782" s="29"/>
      <c r="AD782" s="29"/>
      <c r="AE782" s="29"/>
      <c r="AF782" s="29"/>
      <c r="AG782" s="29"/>
      <c r="AH782" s="29"/>
      <c r="AI782" s="29"/>
      <c r="AJ782" s="29"/>
    </row>
    <row r="783" spans="11:36" ht="14.25" customHeight="1" x14ac:dyDescent="0.35"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29"/>
      <c r="AB783" s="29"/>
      <c r="AC783" s="29"/>
      <c r="AD783" s="29"/>
      <c r="AE783" s="29"/>
      <c r="AF783" s="29"/>
      <c r="AG783" s="29"/>
      <c r="AH783" s="29"/>
      <c r="AI783" s="29"/>
      <c r="AJ783" s="29"/>
    </row>
    <row r="784" spans="11:36" ht="14.25" customHeight="1" x14ac:dyDescent="0.35"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29"/>
      <c r="AB784" s="29"/>
      <c r="AC784" s="29"/>
      <c r="AD784" s="29"/>
      <c r="AE784" s="29"/>
      <c r="AF784" s="29"/>
      <c r="AG784" s="29"/>
      <c r="AH784" s="29"/>
      <c r="AI784" s="29"/>
      <c r="AJ784" s="29"/>
    </row>
    <row r="785" spans="11:36" ht="14.25" customHeight="1" x14ac:dyDescent="0.35"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29"/>
      <c r="AB785" s="29"/>
      <c r="AC785" s="29"/>
      <c r="AD785" s="29"/>
      <c r="AE785" s="29"/>
      <c r="AF785" s="29"/>
      <c r="AG785" s="29"/>
      <c r="AH785" s="29"/>
      <c r="AI785" s="29"/>
      <c r="AJ785" s="29"/>
    </row>
    <row r="786" spans="11:36" ht="14.25" customHeight="1" x14ac:dyDescent="0.35"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29"/>
      <c r="AB786" s="29"/>
      <c r="AC786" s="29"/>
      <c r="AD786" s="29"/>
      <c r="AE786" s="29"/>
      <c r="AF786" s="29"/>
      <c r="AG786" s="29"/>
      <c r="AH786" s="29"/>
      <c r="AI786" s="29"/>
      <c r="AJ786" s="29"/>
    </row>
    <row r="787" spans="11:36" ht="14.25" customHeight="1" x14ac:dyDescent="0.35"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29"/>
      <c r="AB787" s="29"/>
      <c r="AC787" s="29"/>
      <c r="AD787" s="29"/>
      <c r="AE787" s="29"/>
      <c r="AF787" s="29"/>
      <c r="AG787" s="29"/>
      <c r="AH787" s="29"/>
      <c r="AI787" s="29"/>
      <c r="AJ787" s="29"/>
    </row>
    <row r="788" spans="11:36" ht="14.25" customHeight="1" x14ac:dyDescent="0.35"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29"/>
      <c r="AB788" s="29"/>
      <c r="AC788" s="29"/>
      <c r="AD788" s="29"/>
      <c r="AE788" s="29"/>
      <c r="AF788" s="29"/>
      <c r="AG788" s="29"/>
      <c r="AH788" s="29"/>
      <c r="AI788" s="29"/>
      <c r="AJ788" s="29"/>
    </row>
    <row r="789" spans="11:36" ht="14.25" customHeight="1" x14ac:dyDescent="0.35"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29"/>
      <c r="AB789" s="29"/>
      <c r="AC789" s="29"/>
      <c r="AD789" s="29"/>
      <c r="AE789" s="29"/>
      <c r="AF789" s="29"/>
      <c r="AG789" s="29"/>
      <c r="AH789" s="29"/>
      <c r="AI789" s="29"/>
      <c r="AJ789" s="29"/>
    </row>
    <row r="790" spans="11:36" ht="14.25" customHeight="1" x14ac:dyDescent="0.35"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29"/>
      <c r="AB790" s="29"/>
      <c r="AC790" s="29"/>
      <c r="AD790" s="29"/>
      <c r="AE790" s="29"/>
      <c r="AF790" s="29"/>
      <c r="AG790" s="29"/>
      <c r="AH790" s="29"/>
      <c r="AI790" s="29"/>
      <c r="AJ790" s="29"/>
    </row>
    <row r="791" spans="11:36" ht="14.25" customHeight="1" x14ac:dyDescent="0.35"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29"/>
      <c r="AB791" s="29"/>
      <c r="AC791" s="29"/>
      <c r="AD791" s="29"/>
      <c r="AE791" s="29"/>
      <c r="AF791" s="29"/>
      <c r="AG791" s="29"/>
      <c r="AH791" s="29"/>
      <c r="AI791" s="29"/>
      <c r="AJ791" s="29"/>
    </row>
    <row r="792" spans="11:36" ht="14.25" customHeight="1" x14ac:dyDescent="0.35"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29"/>
      <c r="AB792" s="29"/>
      <c r="AC792" s="29"/>
      <c r="AD792" s="29"/>
      <c r="AE792" s="29"/>
      <c r="AF792" s="29"/>
      <c r="AG792" s="29"/>
      <c r="AH792" s="29"/>
      <c r="AI792" s="29"/>
      <c r="AJ792" s="29"/>
    </row>
    <row r="793" spans="11:36" ht="14.25" customHeight="1" x14ac:dyDescent="0.35"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29"/>
      <c r="AB793" s="29"/>
      <c r="AC793" s="29"/>
      <c r="AD793" s="29"/>
      <c r="AE793" s="29"/>
      <c r="AF793" s="29"/>
      <c r="AG793" s="29"/>
      <c r="AH793" s="29"/>
      <c r="AI793" s="29"/>
      <c r="AJ793" s="29"/>
    </row>
    <row r="794" spans="11:36" ht="14.25" customHeight="1" x14ac:dyDescent="0.35"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29"/>
      <c r="AB794" s="29"/>
      <c r="AC794" s="29"/>
      <c r="AD794" s="29"/>
      <c r="AE794" s="29"/>
      <c r="AF794" s="29"/>
      <c r="AG794" s="29"/>
      <c r="AH794" s="29"/>
      <c r="AI794" s="29"/>
      <c r="AJ794" s="29"/>
    </row>
    <row r="795" spans="11:36" ht="14.25" customHeight="1" x14ac:dyDescent="0.35"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29"/>
      <c r="AB795" s="29"/>
      <c r="AC795" s="29"/>
      <c r="AD795" s="29"/>
      <c r="AE795" s="29"/>
      <c r="AF795" s="29"/>
      <c r="AG795" s="29"/>
      <c r="AH795" s="29"/>
      <c r="AI795" s="29"/>
      <c r="AJ795" s="29"/>
    </row>
    <row r="796" spans="11:36" ht="14.25" customHeight="1" x14ac:dyDescent="0.35"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29"/>
      <c r="AB796" s="29"/>
      <c r="AC796" s="29"/>
      <c r="AD796" s="29"/>
      <c r="AE796" s="29"/>
      <c r="AF796" s="29"/>
      <c r="AG796" s="29"/>
      <c r="AH796" s="29"/>
      <c r="AI796" s="29"/>
      <c r="AJ796" s="29"/>
    </row>
    <row r="797" spans="11:36" ht="14.25" customHeight="1" x14ac:dyDescent="0.35"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29"/>
      <c r="AB797" s="29"/>
      <c r="AC797" s="29"/>
      <c r="AD797" s="29"/>
      <c r="AE797" s="29"/>
      <c r="AF797" s="29"/>
      <c r="AG797" s="29"/>
      <c r="AH797" s="29"/>
      <c r="AI797" s="29"/>
      <c r="AJ797" s="29"/>
    </row>
    <row r="798" spans="11:36" ht="14.25" customHeight="1" x14ac:dyDescent="0.35"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29"/>
      <c r="AB798" s="29"/>
      <c r="AC798" s="29"/>
      <c r="AD798" s="29"/>
      <c r="AE798" s="29"/>
      <c r="AF798" s="29"/>
      <c r="AG798" s="29"/>
      <c r="AH798" s="29"/>
      <c r="AI798" s="29"/>
      <c r="AJ798" s="29"/>
    </row>
    <row r="799" spans="11:36" ht="14.25" customHeight="1" x14ac:dyDescent="0.35"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29"/>
      <c r="AB799" s="29"/>
      <c r="AC799" s="29"/>
      <c r="AD799" s="29"/>
      <c r="AE799" s="29"/>
      <c r="AF799" s="29"/>
      <c r="AG799" s="29"/>
      <c r="AH799" s="29"/>
      <c r="AI799" s="29"/>
      <c r="AJ799" s="29"/>
    </row>
    <row r="800" spans="11:36" ht="14.25" customHeight="1" x14ac:dyDescent="0.35"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29"/>
      <c r="AB800" s="29"/>
      <c r="AC800" s="29"/>
      <c r="AD800" s="29"/>
      <c r="AE800" s="29"/>
      <c r="AF800" s="29"/>
      <c r="AG800" s="29"/>
      <c r="AH800" s="29"/>
      <c r="AI800" s="29"/>
      <c r="AJ800" s="29"/>
    </row>
    <row r="801" spans="11:36" ht="14.25" customHeight="1" x14ac:dyDescent="0.35"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  <c r="AD801" s="29"/>
      <c r="AE801" s="29"/>
      <c r="AF801" s="29"/>
      <c r="AG801" s="29"/>
      <c r="AH801" s="29"/>
      <c r="AI801" s="29"/>
      <c r="AJ801" s="29"/>
    </row>
    <row r="802" spans="11:36" ht="14.25" customHeight="1" x14ac:dyDescent="0.35"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29"/>
      <c r="AB802" s="29"/>
      <c r="AC802" s="29"/>
      <c r="AD802" s="29"/>
      <c r="AE802" s="29"/>
      <c r="AF802" s="29"/>
      <c r="AG802" s="29"/>
      <c r="AH802" s="29"/>
      <c r="AI802" s="29"/>
      <c r="AJ802" s="29"/>
    </row>
    <row r="803" spans="11:36" ht="14.25" customHeight="1" x14ac:dyDescent="0.35"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  <c r="AD803" s="29"/>
      <c r="AE803" s="29"/>
      <c r="AF803" s="29"/>
      <c r="AG803" s="29"/>
      <c r="AH803" s="29"/>
      <c r="AI803" s="29"/>
      <c r="AJ803" s="29"/>
    </row>
    <row r="804" spans="11:36" ht="14.25" customHeight="1" x14ac:dyDescent="0.35"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29"/>
      <c r="AB804" s="29"/>
      <c r="AC804" s="29"/>
      <c r="AD804" s="29"/>
      <c r="AE804" s="29"/>
      <c r="AF804" s="29"/>
      <c r="AG804" s="29"/>
      <c r="AH804" s="29"/>
      <c r="AI804" s="29"/>
      <c r="AJ804" s="29"/>
    </row>
    <row r="805" spans="11:36" ht="14.25" customHeight="1" x14ac:dyDescent="0.35"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  <c r="AD805" s="29"/>
      <c r="AE805" s="29"/>
      <c r="AF805" s="29"/>
      <c r="AG805" s="29"/>
      <c r="AH805" s="29"/>
      <c r="AI805" s="29"/>
      <c r="AJ805" s="29"/>
    </row>
    <row r="806" spans="11:36" ht="14.25" customHeight="1" x14ac:dyDescent="0.35"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29"/>
      <c r="AB806" s="29"/>
      <c r="AC806" s="29"/>
      <c r="AD806" s="29"/>
      <c r="AE806" s="29"/>
      <c r="AF806" s="29"/>
      <c r="AG806" s="29"/>
      <c r="AH806" s="29"/>
      <c r="AI806" s="29"/>
      <c r="AJ806" s="29"/>
    </row>
    <row r="807" spans="11:36" ht="14.25" customHeight="1" x14ac:dyDescent="0.35"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  <c r="AD807" s="29"/>
      <c r="AE807" s="29"/>
      <c r="AF807" s="29"/>
      <c r="AG807" s="29"/>
      <c r="AH807" s="29"/>
      <c r="AI807" s="29"/>
      <c r="AJ807" s="29"/>
    </row>
    <row r="808" spans="11:36" ht="14.25" customHeight="1" x14ac:dyDescent="0.35"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29"/>
      <c r="AB808" s="29"/>
      <c r="AC808" s="29"/>
      <c r="AD808" s="29"/>
      <c r="AE808" s="29"/>
      <c r="AF808" s="29"/>
      <c r="AG808" s="29"/>
      <c r="AH808" s="29"/>
      <c r="AI808" s="29"/>
      <c r="AJ808" s="29"/>
    </row>
    <row r="809" spans="11:36" ht="14.25" customHeight="1" x14ac:dyDescent="0.35"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  <c r="AD809" s="29"/>
      <c r="AE809" s="29"/>
      <c r="AF809" s="29"/>
      <c r="AG809" s="29"/>
      <c r="AH809" s="29"/>
      <c r="AI809" s="29"/>
      <c r="AJ809" s="29"/>
    </row>
    <row r="810" spans="11:36" ht="14.25" customHeight="1" x14ac:dyDescent="0.35"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29"/>
      <c r="AB810" s="29"/>
      <c r="AC810" s="29"/>
      <c r="AD810" s="29"/>
      <c r="AE810" s="29"/>
      <c r="AF810" s="29"/>
      <c r="AG810" s="29"/>
      <c r="AH810" s="29"/>
      <c r="AI810" s="29"/>
      <c r="AJ810" s="29"/>
    </row>
    <row r="811" spans="11:36" ht="14.25" customHeight="1" x14ac:dyDescent="0.35"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  <c r="AD811" s="29"/>
      <c r="AE811" s="29"/>
      <c r="AF811" s="29"/>
      <c r="AG811" s="29"/>
      <c r="AH811" s="29"/>
      <c r="AI811" s="29"/>
      <c r="AJ811" s="29"/>
    </row>
    <row r="812" spans="11:36" ht="14.25" customHeight="1" x14ac:dyDescent="0.35"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29"/>
      <c r="AB812" s="29"/>
      <c r="AC812" s="29"/>
      <c r="AD812" s="29"/>
      <c r="AE812" s="29"/>
      <c r="AF812" s="29"/>
      <c r="AG812" s="29"/>
      <c r="AH812" s="29"/>
      <c r="AI812" s="29"/>
      <c r="AJ812" s="29"/>
    </row>
    <row r="813" spans="11:36" ht="14.25" customHeight="1" x14ac:dyDescent="0.35"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  <c r="AD813" s="29"/>
      <c r="AE813" s="29"/>
      <c r="AF813" s="29"/>
      <c r="AG813" s="29"/>
      <c r="AH813" s="29"/>
      <c r="AI813" s="29"/>
      <c r="AJ813" s="29"/>
    </row>
    <row r="814" spans="11:36" ht="14.25" customHeight="1" x14ac:dyDescent="0.35"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29"/>
      <c r="AB814" s="29"/>
      <c r="AC814" s="29"/>
      <c r="AD814" s="29"/>
      <c r="AE814" s="29"/>
      <c r="AF814" s="29"/>
      <c r="AG814" s="29"/>
      <c r="AH814" s="29"/>
      <c r="AI814" s="29"/>
      <c r="AJ814" s="29"/>
    </row>
    <row r="815" spans="11:36" ht="14.25" customHeight="1" x14ac:dyDescent="0.35"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  <c r="AD815" s="29"/>
      <c r="AE815" s="29"/>
      <c r="AF815" s="29"/>
      <c r="AG815" s="29"/>
      <c r="AH815" s="29"/>
      <c r="AI815" s="29"/>
      <c r="AJ815" s="29"/>
    </row>
    <row r="816" spans="11:36" ht="14.25" customHeight="1" x14ac:dyDescent="0.35"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29"/>
      <c r="AB816" s="29"/>
      <c r="AC816" s="29"/>
      <c r="AD816" s="29"/>
      <c r="AE816" s="29"/>
      <c r="AF816" s="29"/>
      <c r="AG816" s="29"/>
      <c r="AH816" s="29"/>
      <c r="AI816" s="29"/>
      <c r="AJ816" s="29"/>
    </row>
    <row r="817" spans="11:36" ht="14.25" customHeight="1" x14ac:dyDescent="0.35"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  <c r="AD817" s="29"/>
      <c r="AE817" s="29"/>
      <c r="AF817" s="29"/>
      <c r="AG817" s="29"/>
      <c r="AH817" s="29"/>
      <c r="AI817" s="29"/>
      <c r="AJ817" s="29"/>
    </row>
    <row r="818" spans="11:36" ht="14.25" customHeight="1" x14ac:dyDescent="0.35"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29"/>
      <c r="AB818" s="29"/>
      <c r="AC818" s="29"/>
      <c r="AD818" s="29"/>
      <c r="AE818" s="29"/>
      <c r="AF818" s="29"/>
      <c r="AG818" s="29"/>
      <c r="AH818" s="29"/>
      <c r="AI818" s="29"/>
      <c r="AJ818" s="29"/>
    </row>
    <row r="819" spans="11:36" ht="14.25" customHeight="1" x14ac:dyDescent="0.35"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  <c r="AD819" s="29"/>
      <c r="AE819" s="29"/>
      <c r="AF819" s="29"/>
      <c r="AG819" s="29"/>
      <c r="AH819" s="29"/>
      <c r="AI819" s="29"/>
      <c r="AJ819" s="29"/>
    </row>
    <row r="820" spans="11:36" ht="14.25" customHeight="1" x14ac:dyDescent="0.35"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29"/>
      <c r="AB820" s="29"/>
      <c r="AC820" s="29"/>
      <c r="AD820" s="29"/>
      <c r="AE820" s="29"/>
      <c r="AF820" s="29"/>
      <c r="AG820" s="29"/>
      <c r="AH820" s="29"/>
      <c r="AI820" s="29"/>
      <c r="AJ820" s="29"/>
    </row>
    <row r="821" spans="11:36" ht="14.25" customHeight="1" x14ac:dyDescent="0.35"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  <c r="AD821" s="29"/>
      <c r="AE821" s="29"/>
      <c r="AF821" s="29"/>
      <c r="AG821" s="29"/>
      <c r="AH821" s="29"/>
      <c r="AI821" s="29"/>
      <c r="AJ821" s="29"/>
    </row>
    <row r="822" spans="11:36" ht="14.25" customHeight="1" x14ac:dyDescent="0.35"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29"/>
      <c r="AB822" s="29"/>
      <c r="AC822" s="29"/>
      <c r="AD822" s="29"/>
      <c r="AE822" s="29"/>
      <c r="AF822" s="29"/>
      <c r="AG822" s="29"/>
      <c r="AH822" s="29"/>
      <c r="AI822" s="29"/>
      <c r="AJ822" s="29"/>
    </row>
    <row r="823" spans="11:36" ht="14.25" customHeight="1" x14ac:dyDescent="0.35"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  <c r="AD823" s="29"/>
      <c r="AE823" s="29"/>
      <c r="AF823" s="29"/>
      <c r="AG823" s="29"/>
      <c r="AH823" s="29"/>
      <c r="AI823" s="29"/>
      <c r="AJ823" s="29"/>
    </row>
    <row r="824" spans="11:36" ht="14.25" customHeight="1" x14ac:dyDescent="0.35"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29"/>
      <c r="AB824" s="29"/>
      <c r="AC824" s="29"/>
      <c r="AD824" s="29"/>
      <c r="AE824" s="29"/>
      <c r="AF824" s="29"/>
      <c r="AG824" s="29"/>
      <c r="AH824" s="29"/>
      <c r="AI824" s="29"/>
      <c r="AJ824" s="29"/>
    </row>
    <row r="825" spans="11:36" ht="14.25" customHeight="1" x14ac:dyDescent="0.35"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  <c r="AD825" s="29"/>
      <c r="AE825" s="29"/>
      <c r="AF825" s="29"/>
      <c r="AG825" s="29"/>
      <c r="AH825" s="29"/>
      <c r="AI825" s="29"/>
      <c r="AJ825" s="29"/>
    </row>
    <row r="826" spans="11:36" ht="14.25" customHeight="1" x14ac:dyDescent="0.35"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29"/>
      <c r="AB826" s="29"/>
      <c r="AC826" s="29"/>
      <c r="AD826" s="29"/>
      <c r="AE826" s="29"/>
      <c r="AF826" s="29"/>
      <c r="AG826" s="29"/>
      <c r="AH826" s="29"/>
      <c r="AI826" s="29"/>
      <c r="AJ826" s="29"/>
    </row>
    <row r="827" spans="11:36" ht="14.25" customHeight="1" x14ac:dyDescent="0.35"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  <c r="AD827" s="29"/>
      <c r="AE827" s="29"/>
      <c r="AF827" s="29"/>
      <c r="AG827" s="29"/>
      <c r="AH827" s="29"/>
      <c r="AI827" s="29"/>
      <c r="AJ827" s="29"/>
    </row>
    <row r="828" spans="11:36" ht="14.25" customHeight="1" x14ac:dyDescent="0.35"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29"/>
      <c r="AB828" s="29"/>
      <c r="AC828" s="29"/>
      <c r="AD828" s="29"/>
      <c r="AE828" s="29"/>
      <c r="AF828" s="29"/>
      <c r="AG828" s="29"/>
      <c r="AH828" s="29"/>
      <c r="AI828" s="29"/>
      <c r="AJ828" s="29"/>
    </row>
    <row r="829" spans="11:36" ht="14.25" customHeight="1" x14ac:dyDescent="0.35"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  <c r="AD829" s="29"/>
      <c r="AE829" s="29"/>
      <c r="AF829" s="29"/>
      <c r="AG829" s="29"/>
      <c r="AH829" s="29"/>
      <c r="AI829" s="29"/>
      <c r="AJ829" s="29"/>
    </row>
    <row r="830" spans="11:36" ht="14.25" customHeight="1" x14ac:dyDescent="0.35"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29"/>
      <c r="AB830" s="29"/>
      <c r="AC830" s="29"/>
      <c r="AD830" s="29"/>
      <c r="AE830" s="29"/>
      <c r="AF830" s="29"/>
      <c r="AG830" s="29"/>
      <c r="AH830" s="29"/>
      <c r="AI830" s="29"/>
      <c r="AJ830" s="29"/>
    </row>
    <row r="831" spans="11:36" ht="14.25" customHeight="1" x14ac:dyDescent="0.35"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  <c r="AD831" s="29"/>
      <c r="AE831" s="29"/>
      <c r="AF831" s="29"/>
      <c r="AG831" s="29"/>
      <c r="AH831" s="29"/>
      <c r="AI831" s="29"/>
      <c r="AJ831" s="29"/>
    </row>
    <row r="832" spans="11:36" ht="14.25" customHeight="1" x14ac:dyDescent="0.35"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29"/>
      <c r="AB832" s="29"/>
      <c r="AC832" s="29"/>
      <c r="AD832" s="29"/>
      <c r="AE832" s="29"/>
      <c r="AF832" s="29"/>
      <c r="AG832" s="29"/>
      <c r="AH832" s="29"/>
      <c r="AI832" s="29"/>
      <c r="AJ832" s="29"/>
    </row>
    <row r="833" spans="11:36" ht="14.25" customHeight="1" x14ac:dyDescent="0.35"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  <c r="AD833" s="29"/>
      <c r="AE833" s="29"/>
      <c r="AF833" s="29"/>
      <c r="AG833" s="29"/>
      <c r="AH833" s="29"/>
      <c r="AI833" s="29"/>
      <c r="AJ833" s="29"/>
    </row>
    <row r="834" spans="11:36" ht="14.25" customHeight="1" x14ac:dyDescent="0.35"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29"/>
      <c r="AB834" s="29"/>
      <c r="AC834" s="29"/>
      <c r="AD834" s="29"/>
      <c r="AE834" s="29"/>
      <c r="AF834" s="29"/>
      <c r="AG834" s="29"/>
      <c r="AH834" s="29"/>
      <c r="AI834" s="29"/>
      <c r="AJ834" s="29"/>
    </row>
    <row r="835" spans="11:36" ht="14.25" customHeight="1" x14ac:dyDescent="0.35"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29"/>
      <c r="AB835" s="29"/>
      <c r="AC835" s="29"/>
      <c r="AD835" s="29"/>
      <c r="AE835" s="29"/>
      <c r="AF835" s="29"/>
      <c r="AG835" s="29"/>
      <c r="AH835" s="29"/>
      <c r="AI835" s="29"/>
      <c r="AJ835" s="29"/>
    </row>
    <row r="836" spans="11:36" ht="14.25" customHeight="1" x14ac:dyDescent="0.35"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29"/>
      <c r="AB836" s="29"/>
      <c r="AC836" s="29"/>
      <c r="AD836" s="29"/>
      <c r="AE836" s="29"/>
      <c r="AF836" s="29"/>
      <c r="AG836" s="29"/>
      <c r="AH836" s="29"/>
      <c r="AI836" s="29"/>
      <c r="AJ836" s="29"/>
    </row>
    <row r="837" spans="11:36" ht="14.25" customHeight="1" x14ac:dyDescent="0.35"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29"/>
      <c r="AB837" s="29"/>
      <c r="AC837" s="29"/>
      <c r="AD837" s="29"/>
      <c r="AE837" s="29"/>
      <c r="AF837" s="29"/>
      <c r="AG837" s="29"/>
      <c r="AH837" s="29"/>
      <c r="AI837" s="29"/>
      <c r="AJ837" s="29"/>
    </row>
    <row r="838" spans="11:36" ht="14.25" customHeight="1" x14ac:dyDescent="0.35"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29"/>
      <c r="AB838" s="29"/>
      <c r="AC838" s="29"/>
      <c r="AD838" s="29"/>
      <c r="AE838" s="29"/>
      <c r="AF838" s="29"/>
      <c r="AG838" s="29"/>
      <c r="AH838" s="29"/>
      <c r="AI838" s="29"/>
      <c r="AJ838" s="29"/>
    </row>
    <row r="839" spans="11:36" ht="14.25" customHeight="1" x14ac:dyDescent="0.35"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29"/>
      <c r="AB839" s="29"/>
      <c r="AC839" s="29"/>
      <c r="AD839" s="29"/>
      <c r="AE839" s="29"/>
      <c r="AF839" s="29"/>
      <c r="AG839" s="29"/>
      <c r="AH839" s="29"/>
      <c r="AI839" s="29"/>
      <c r="AJ839" s="29"/>
    </row>
    <row r="840" spans="11:36" ht="14.25" customHeight="1" x14ac:dyDescent="0.35"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29"/>
      <c r="AB840" s="29"/>
      <c r="AC840" s="29"/>
      <c r="AD840" s="29"/>
      <c r="AE840" s="29"/>
      <c r="AF840" s="29"/>
      <c r="AG840" s="29"/>
      <c r="AH840" s="29"/>
      <c r="AI840" s="29"/>
      <c r="AJ840" s="29"/>
    </row>
    <row r="841" spans="11:36" ht="14.25" customHeight="1" x14ac:dyDescent="0.35"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29"/>
      <c r="AB841" s="29"/>
      <c r="AC841" s="29"/>
      <c r="AD841" s="29"/>
      <c r="AE841" s="29"/>
      <c r="AF841" s="29"/>
      <c r="AG841" s="29"/>
      <c r="AH841" s="29"/>
      <c r="AI841" s="29"/>
      <c r="AJ841" s="29"/>
    </row>
    <row r="842" spans="11:36" ht="14.25" customHeight="1" x14ac:dyDescent="0.35"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29"/>
      <c r="AB842" s="29"/>
      <c r="AC842" s="29"/>
      <c r="AD842" s="29"/>
      <c r="AE842" s="29"/>
      <c r="AF842" s="29"/>
      <c r="AG842" s="29"/>
      <c r="AH842" s="29"/>
      <c r="AI842" s="29"/>
      <c r="AJ842" s="29"/>
    </row>
    <row r="843" spans="11:36" ht="14.25" customHeight="1" x14ac:dyDescent="0.35"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29"/>
      <c r="AB843" s="29"/>
      <c r="AC843" s="29"/>
      <c r="AD843" s="29"/>
      <c r="AE843" s="29"/>
      <c r="AF843" s="29"/>
      <c r="AG843" s="29"/>
      <c r="AH843" s="29"/>
      <c r="AI843" s="29"/>
      <c r="AJ843" s="29"/>
    </row>
    <row r="844" spans="11:36" ht="14.25" customHeight="1" x14ac:dyDescent="0.35"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29"/>
      <c r="AB844" s="29"/>
      <c r="AC844" s="29"/>
      <c r="AD844" s="29"/>
      <c r="AE844" s="29"/>
      <c r="AF844" s="29"/>
      <c r="AG844" s="29"/>
      <c r="AH844" s="29"/>
      <c r="AI844" s="29"/>
      <c r="AJ844" s="29"/>
    </row>
    <row r="845" spans="11:36" ht="14.25" customHeight="1" x14ac:dyDescent="0.35"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  <c r="AD845" s="29"/>
      <c r="AE845" s="29"/>
      <c r="AF845" s="29"/>
      <c r="AG845" s="29"/>
      <c r="AH845" s="29"/>
      <c r="AI845" s="29"/>
      <c r="AJ845" s="29"/>
    </row>
    <row r="846" spans="11:36" ht="14.25" customHeight="1" x14ac:dyDescent="0.35"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29"/>
      <c r="AB846" s="29"/>
      <c r="AC846" s="29"/>
      <c r="AD846" s="29"/>
      <c r="AE846" s="29"/>
      <c r="AF846" s="29"/>
      <c r="AG846" s="29"/>
      <c r="AH846" s="29"/>
      <c r="AI846" s="29"/>
      <c r="AJ846" s="29"/>
    </row>
    <row r="847" spans="11:36" ht="14.25" customHeight="1" x14ac:dyDescent="0.35"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29"/>
      <c r="AB847" s="29"/>
      <c r="AC847" s="29"/>
      <c r="AD847" s="29"/>
      <c r="AE847" s="29"/>
      <c r="AF847" s="29"/>
      <c r="AG847" s="29"/>
      <c r="AH847" s="29"/>
      <c r="AI847" s="29"/>
      <c r="AJ847" s="29"/>
    </row>
    <row r="848" spans="11:36" ht="14.25" customHeight="1" x14ac:dyDescent="0.35"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29"/>
      <c r="AB848" s="29"/>
      <c r="AC848" s="29"/>
      <c r="AD848" s="29"/>
      <c r="AE848" s="29"/>
      <c r="AF848" s="29"/>
      <c r="AG848" s="29"/>
      <c r="AH848" s="29"/>
      <c r="AI848" s="29"/>
      <c r="AJ848" s="29"/>
    </row>
    <row r="849" spans="11:36" ht="14.25" customHeight="1" x14ac:dyDescent="0.35"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29"/>
      <c r="AB849" s="29"/>
      <c r="AC849" s="29"/>
      <c r="AD849" s="29"/>
      <c r="AE849" s="29"/>
      <c r="AF849" s="29"/>
      <c r="AG849" s="29"/>
      <c r="AH849" s="29"/>
      <c r="AI849" s="29"/>
      <c r="AJ849" s="29"/>
    </row>
    <row r="850" spans="11:36" ht="14.25" customHeight="1" x14ac:dyDescent="0.35"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29"/>
      <c r="AB850" s="29"/>
      <c r="AC850" s="29"/>
      <c r="AD850" s="29"/>
      <c r="AE850" s="29"/>
      <c r="AF850" s="29"/>
      <c r="AG850" s="29"/>
      <c r="AH850" s="29"/>
      <c r="AI850" s="29"/>
      <c r="AJ850" s="29"/>
    </row>
    <row r="851" spans="11:36" ht="14.25" customHeight="1" x14ac:dyDescent="0.35"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29"/>
      <c r="AB851" s="29"/>
      <c r="AC851" s="29"/>
      <c r="AD851" s="29"/>
      <c r="AE851" s="29"/>
      <c r="AF851" s="29"/>
      <c r="AG851" s="29"/>
      <c r="AH851" s="29"/>
      <c r="AI851" s="29"/>
      <c r="AJ851" s="29"/>
    </row>
    <row r="852" spans="11:36" ht="14.25" customHeight="1" x14ac:dyDescent="0.35"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29"/>
      <c r="AB852" s="29"/>
      <c r="AC852" s="29"/>
      <c r="AD852" s="29"/>
      <c r="AE852" s="29"/>
      <c r="AF852" s="29"/>
      <c r="AG852" s="29"/>
      <c r="AH852" s="29"/>
      <c r="AI852" s="29"/>
      <c r="AJ852" s="29"/>
    </row>
    <row r="853" spans="11:36" ht="14.25" customHeight="1" x14ac:dyDescent="0.35"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29"/>
      <c r="AB853" s="29"/>
      <c r="AC853" s="29"/>
      <c r="AD853" s="29"/>
      <c r="AE853" s="29"/>
      <c r="AF853" s="29"/>
      <c r="AG853" s="29"/>
      <c r="AH853" s="29"/>
      <c r="AI853" s="29"/>
      <c r="AJ853" s="29"/>
    </row>
    <row r="854" spans="11:36" ht="14.25" customHeight="1" x14ac:dyDescent="0.35"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29"/>
      <c r="AB854" s="29"/>
      <c r="AC854" s="29"/>
      <c r="AD854" s="29"/>
      <c r="AE854" s="29"/>
      <c r="AF854" s="29"/>
      <c r="AG854" s="29"/>
      <c r="AH854" s="29"/>
      <c r="AI854" s="29"/>
      <c r="AJ854" s="29"/>
    </row>
    <row r="855" spans="11:36" ht="14.25" customHeight="1" x14ac:dyDescent="0.35"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29"/>
      <c r="AB855" s="29"/>
      <c r="AC855" s="29"/>
      <c r="AD855" s="29"/>
      <c r="AE855" s="29"/>
      <c r="AF855" s="29"/>
      <c r="AG855" s="29"/>
      <c r="AH855" s="29"/>
      <c r="AI855" s="29"/>
      <c r="AJ855" s="29"/>
    </row>
    <row r="856" spans="11:36" ht="14.25" customHeight="1" x14ac:dyDescent="0.35"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29"/>
      <c r="AB856" s="29"/>
      <c r="AC856" s="29"/>
      <c r="AD856" s="29"/>
      <c r="AE856" s="29"/>
      <c r="AF856" s="29"/>
      <c r="AG856" s="29"/>
      <c r="AH856" s="29"/>
      <c r="AI856" s="29"/>
      <c r="AJ856" s="29"/>
    </row>
    <row r="857" spans="11:36" ht="14.25" customHeight="1" x14ac:dyDescent="0.35"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29"/>
      <c r="AB857" s="29"/>
      <c r="AC857" s="29"/>
      <c r="AD857" s="29"/>
      <c r="AE857" s="29"/>
      <c r="AF857" s="29"/>
      <c r="AG857" s="29"/>
      <c r="AH857" s="29"/>
      <c r="AI857" s="29"/>
      <c r="AJ857" s="29"/>
    </row>
    <row r="858" spans="11:36" ht="14.25" customHeight="1" x14ac:dyDescent="0.35"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29"/>
      <c r="AB858" s="29"/>
      <c r="AC858" s="29"/>
      <c r="AD858" s="29"/>
      <c r="AE858" s="29"/>
      <c r="AF858" s="29"/>
      <c r="AG858" s="29"/>
      <c r="AH858" s="29"/>
      <c r="AI858" s="29"/>
      <c r="AJ858" s="29"/>
    </row>
    <row r="859" spans="11:36" ht="14.25" customHeight="1" x14ac:dyDescent="0.35"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29"/>
      <c r="AB859" s="29"/>
      <c r="AC859" s="29"/>
      <c r="AD859" s="29"/>
      <c r="AE859" s="29"/>
      <c r="AF859" s="29"/>
      <c r="AG859" s="29"/>
      <c r="AH859" s="29"/>
      <c r="AI859" s="29"/>
      <c r="AJ859" s="29"/>
    </row>
    <row r="860" spans="11:36" ht="14.25" customHeight="1" x14ac:dyDescent="0.35"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29"/>
      <c r="AB860" s="29"/>
      <c r="AC860" s="29"/>
      <c r="AD860" s="29"/>
      <c r="AE860" s="29"/>
      <c r="AF860" s="29"/>
      <c r="AG860" s="29"/>
      <c r="AH860" s="29"/>
      <c r="AI860" s="29"/>
      <c r="AJ860" s="29"/>
    </row>
    <row r="861" spans="11:36" ht="14.25" customHeight="1" x14ac:dyDescent="0.35"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29"/>
      <c r="AB861" s="29"/>
      <c r="AC861" s="29"/>
      <c r="AD861" s="29"/>
      <c r="AE861" s="29"/>
      <c r="AF861" s="29"/>
      <c r="AG861" s="29"/>
      <c r="AH861" s="29"/>
      <c r="AI861" s="29"/>
      <c r="AJ861" s="29"/>
    </row>
    <row r="862" spans="11:36" ht="14.25" customHeight="1" x14ac:dyDescent="0.35"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29"/>
      <c r="AB862" s="29"/>
      <c r="AC862" s="29"/>
      <c r="AD862" s="29"/>
      <c r="AE862" s="29"/>
      <c r="AF862" s="29"/>
      <c r="AG862" s="29"/>
      <c r="AH862" s="29"/>
      <c r="AI862" s="29"/>
      <c r="AJ862" s="29"/>
    </row>
    <row r="863" spans="11:36" ht="14.25" customHeight="1" x14ac:dyDescent="0.35"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29"/>
      <c r="AB863" s="29"/>
      <c r="AC863" s="29"/>
      <c r="AD863" s="29"/>
      <c r="AE863" s="29"/>
      <c r="AF863" s="29"/>
      <c r="AG863" s="29"/>
      <c r="AH863" s="29"/>
      <c r="AI863" s="29"/>
      <c r="AJ863" s="29"/>
    </row>
    <row r="864" spans="11:36" ht="14.25" customHeight="1" x14ac:dyDescent="0.35"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29"/>
      <c r="AB864" s="29"/>
      <c r="AC864" s="29"/>
      <c r="AD864" s="29"/>
      <c r="AE864" s="29"/>
      <c r="AF864" s="29"/>
      <c r="AG864" s="29"/>
      <c r="AH864" s="29"/>
      <c r="AI864" s="29"/>
      <c r="AJ864" s="29"/>
    </row>
    <row r="865" spans="11:36" ht="14.25" customHeight="1" x14ac:dyDescent="0.35"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29"/>
      <c r="AB865" s="29"/>
      <c r="AC865" s="29"/>
      <c r="AD865" s="29"/>
      <c r="AE865" s="29"/>
      <c r="AF865" s="29"/>
      <c r="AG865" s="29"/>
      <c r="AH865" s="29"/>
      <c r="AI865" s="29"/>
      <c r="AJ865" s="29"/>
    </row>
    <row r="866" spans="11:36" ht="14.25" customHeight="1" x14ac:dyDescent="0.35"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29"/>
      <c r="AB866" s="29"/>
      <c r="AC866" s="29"/>
      <c r="AD866" s="29"/>
      <c r="AE866" s="29"/>
      <c r="AF866" s="29"/>
      <c r="AG866" s="29"/>
      <c r="AH866" s="29"/>
      <c r="AI866" s="29"/>
      <c r="AJ866" s="29"/>
    </row>
    <row r="867" spans="11:36" ht="14.25" customHeight="1" x14ac:dyDescent="0.35"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29"/>
      <c r="AB867" s="29"/>
      <c r="AC867" s="29"/>
      <c r="AD867" s="29"/>
      <c r="AE867" s="29"/>
      <c r="AF867" s="29"/>
      <c r="AG867" s="29"/>
      <c r="AH867" s="29"/>
      <c r="AI867" s="29"/>
      <c r="AJ867" s="29"/>
    </row>
    <row r="868" spans="11:36" ht="14.25" customHeight="1" x14ac:dyDescent="0.35"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29"/>
      <c r="AB868" s="29"/>
      <c r="AC868" s="29"/>
      <c r="AD868" s="29"/>
      <c r="AE868" s="29"/>
      <c r="AF868" s="29"/>
      <c r="AG868" s="29"/>
      <c r="AH868" s="29"/>
      <c r="AI868" s="29"/>
      <c r="AJ868" s="29"/>
    </row>
    <row r="869" spans="11:36" ht="14.25" customHeight="1" x14ac:dyDescent="0.35"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29"/>
      <c r="AB869" s="29"/>
      <c r="AC869" s="29"/>
      <c r="AD869" s="29"/>
      <c r="AE869" s="29"/>
      <c r="AF869" s="29"/>
      <c r="AG869" s="29"/>
      <c r="AH869" s="29"/>
      <c r="AI869" s="29"/>
      <c r="AJ869" s="29"/>
    </row>
    <row r="870" spans="11:36" ht="14.25" customHeight="1" x14ac:dyDescent="0.35"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29"/>
      <c r="AB870" s="29"/>
      <c r="AC870" s="29"/>
      <c r="AD870" s="29"/>
      <c r="AE870" s="29"/>
      <c r="AF870" s="29"/>
      <c r="AG870" s="29"/>
      <c r="AH870" s="29"/>
      <c r="AI870" s="29"/>
      <c r="AJ870" s="29"/>
    </row>
    <row r="871" spans="11:36" ht="14.25" customHeight="1" x14ac:dyDescent="0.35"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29"/>
      <c r="AB871" s="29"/>
      <c r="AC871" s="29"/>
      <c r="AD871" s="29"/>
      <c r="AE871" s="29"/>
      <c r="AF871" s="29"/>
      <c r="AG871" s="29"/>
      <c r="AH871" s="29"/>
      <c r="AI871" s="29"/>
      <c r="AJ871" s="29"/>
    </row>
    <row r="872" spans="11:36" ht="14.25" customHeight="1" x14ac:dyDescent="0.35"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29"/>
      <c r="AB872" s="29"/>
      <c r="AC872" s="29"/>
      <c r="AD872" s="29"/>
      <c r="AE872" s="29"/>
      <c r="AF872" s="29"/>
      <c r="AG872" s="29"/>
      <c r="AH872" s="29"/>
      <c r="AI872" s="29"/>
      <c r="AJ872" s="29"/>
    </row>
    <row r="873" spans="11:36" ht="14.25" customHeight="1" x14ac:dyDescent="0.35"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29"/>
      <c r="AB873" s="29"/>
      <c r="AC873" s="29"/>
      <c r="AD873" s="29"/>
      <c r="AE873" s="29"/>
      <c r="AF873" s="29"/>
      <c r="AG873" s="29"/>
      <c r="AH873" s="29"/>
      <c r="AI873" s="29"/>
      <c r="AJ873" s="29"/>
    </row>
    <row r="874" spans="11:36" ht="14.25" customHeight="1" x14ac:dyDescent="0.35"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29"/>
      <c r="AB874" s="29"/>
      <c r="AC874" s="29"/>
      <c r="AD874" s="29"/>
      <c r="AE874" s="29"/>
      <c r="AF874" s="29"/>
      <c r="AG874" s="29"/>
      <c r="AH874" s="29"/>
      <c r="AI874" s="29"/>
      <c r="AJ874" s="29"/>
    </row>
    <row r="875" spans="11:36" ht="14.25" customHeight="1" x14ac:dyDescent="0.35"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29"/>
      <c r="AB875" s="29"/>
      <c r="AC875" s="29"/>
      <c r="AD875" s="29"/>
      <c r="AE875" s="29"/>
      <c r="AF875" s="29"/>
      <c r="AG875" s="29"/>
      <c r="AH875" s="29"/>
      <c r="AI875" s="29"/>
      <c r="AJ875" s="29"/>
    </row>
    <row r="876" spans="11:36" ht="14.25" customHeight="1" x14ac:dyDescent="0.35"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29"/>
      <c r="AB876" s="29"/>
      <c r="AC876" s="29"/>
      <c r="AD876" s="29"/>
      <c r="AE876" s="29"/>
      <c r="AF876" s="29"/>
      <c r="AG876" s="29"/>
      <c r="AH876" s="29"/>
      <c r="AI876" s="29"/>
      <c r="AJ876" s="29"/>
    </row>
    <row r="877" spans="11:36" ht="14.25" customHeight="1" x14ac:dyDescent="0.35"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29"/>
      <c r="AB877" s="29"/>
      <c r="AC877" s="29"/>
      <c r="AD877" s="29"/>
      <c r="AE877" s="29"/>
      <c r="AF877" s="29"/>
      <c r="AG877" s="29"/>
      <c r="AH877" s="29"/>
      <c r="AI877" s="29"/>
      <c r="AJ877" s="29"/>
    </row>
    <row r="878" spans="11:36" ht="14.25" customHeight="1" x14ac:dyDescent="0.35"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29"/>
      <c r="AB878" s="29"/>
      <c r="AC878" s="29"/>
      <c r="AD878" s="29"/>
      <c r="AE878" s="29"/>
      <c r="AF878" s="29"/>
      <c r="AG878" s="29"/>
      <c r="AH878" s="29"/>
      <c r="AI878" s="29"/>
      <c r="AJ878" s="29"/>
    </row>
    <row r="879" spans="11:36" ht="14.25" customHeight="1" x14ac:dyDescent="0.35"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29"/>
      <c r="AB879" s="29"/>
      <c r="AC879" s="29"/>
      <c r="AD879" s="29"/>
      <c r="AE879" s="29"/>
      <c r="AF879" s="29"/>
      <c r="AG879" s="29"/>
      <c r="AH879" s="29"/>
      <c r="AI879" s="29"/>
      <c r="AJ879" s="29"/>
    </row>
    <row r="880" spans="11:36" ht="14.25" customHeight="1" x14ac:dyDescent="0.35"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29"/>
      <c r="AB880" s="29"/>
      <c r="AC880" s="29"/>
      <c r="AD880" s="29"/>
      <c r="AE880" s="29"/>
      <c r="AF880" s="29"/>
      <c r="AG880" s="29"/>
      <c r="AH880" s="29"/>
      <c r="AI880" s="29"/>
      <c r="AJ880" s="29"/>
    </row>
    <row r="881" spans="11:36" ht="14.25" customHeight="1" x14ac:dyDescent="0.35"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29"/>
      <c r="AB881" s="29"/>
      <c r="AC881" s="29"/>
      <c r="AD881" s="29"/>
      <c r="AE881" s="29"/>
      <c r="AF881" s="29"/>
      <c r="AG881" s="29"/>
      <c r="AH881" s="29"/>
      <c r="AI881" s="29"/>
      <c r="AJ881" s="29"/>
    </row>
    <row r="882" spans="11:36" ht="14.25" customHeight="1" x14ac:dyDescent="0.35"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29"/>
      <c r="AB882" s="29"/>
      <c r="AC882" s="29"/>
      <c r="AD882" s="29"/>
      <c r="AE882" s="29"/>
      <c r="AF882" s="29"/>
      <c r="AG882" s="29"/>
      <c r="AH882" s="29"/>
      <c r="AI882" s="29"/>
      <c r="AJ882" s="29"/>
    </row>
    <row r="883" spans="11:36" ht="14.25" customHeight="1" x14ac:dyDescent="0.35"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29"/>
      <c r="AB883" s="29"/>
      <c r="AC883" s="29"/>
      <c r="AD883" s="29"/>
      <c r="AE883" s="29"/>
      <c r="AF883" s="29"/>
      <c r="AG883" s="29"/>
      <c r="AH883" s="29"/>
      <c r="AI883" s="29"/>
      <c r="AJ883" s="29"/>
    </row>
    <row r="884" spans="11:36" ht="14.25" customHeight="1" x14ac:dyDescent="0.35"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29"/>
      <c r="AB884" s="29"/>
      <c r="AC884" s="29"/>
      <c r="AD884" s="29"/>
      <c r="AE884" s="29"/>
      <c r="AF884" s="29"/>
      <c r="AG884" s="29"/>
      <c r="AH884" s="29"/>
      <c r="AI884" s="29"/>
      <c r="AJ884" s="29"/>
    </row>
    <row r="885" spans="11:36" ht="14.25" customHeight="1" x14ac:dyDescent="0.35"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29"/>
      <c r="AB885" s="29"/>
      <c r="AC885" s="29"/>
      <c r="AD885" s="29"/>
      <c r="AE885" s="29"/>
      <c r="AF885" s="29"/>
      <c r="AG885" s="29"/>
      <c r="AH885" s="29"/>
      <c r="AI885" s="29"/>
      <c r="AJ885" s="29"/>
    </row>
    <row r="886" spans="11:36" ht="14.25" customHeight="1" x14ac:dyDescent="0.35"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29"/>
      <c r="AB886" s="29"/>
      <c r="AC886" s="29"/>
      <c r="AD886" s="29"/>
      <c r="AE886" s="29"/>
      <c r="AF886" s="29"/>
      <c r="AG886" s="29"/>
      <c r="AH886" s="29"/>
      <c r="AI886" s="29"/>
      <c r="AJ886" s="29"/>
    </row>
    <row r="887" spans="11:36" ht="14.25" customHeight="1" x14ac:dyDescent="0.35"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29"/>
      <c r="AB887" s="29"/>
      <c r="AC887" s="29"/>
      <c r="AD887" s="29"/>
      <c r="AE887" s="29"/>
      <c r="AF887" s="29"/>
      <c r="AG887" s="29"/>
      <c r="AH887" s="29"/>
      <c r="AI887" s="29"/>
      <c r="AJ887" s="29"/>
    </row>
    <row r="888" spans="11:36" ht="14.25" customHeight="1" x14ac:dyDescent="0.35"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29"/>
      <c r="AB888" s="29"/>
      <c r="AC888" s="29"/>
      <c r="AD888" s="29"/>
      <c r="AE888" s="29"/>
      <c r="AF888" s="29"/>
      <c r="AG888" s="29"/>
      <c r="AH888" s="29"/>
      <c r="AI888" s="29"/>
      <c r="AJ888" s="29"/>
    </row>
    <row r="889" spans="11:36" ht="14.25" customHeight="1" x14ac:dyDescent="0.35"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29"/>
      <c r="AB889" s="29"/>
      <c r="AC889" s="29"/>
      <c r="AD889" s="29"/>
      <c r="AE889" s="29"/>
      <c r="AF889" s="29"/>
      <c r="AG889" s="29"/>
      <c r="AH889" s="29"/>
      <c r="AI889" s="29"/>
      <c r="AJ889" s="29"/>
    </row>
    <row r="890" spans="11:36" ht="14.25" customHeight="1" x14ac:dyDescent="0.35"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29"/>
      <c r="AB890" s="29"/>
      <c r="AC890" s="29"/>
      <c r="AD890" s="29"/>
      <c r="AE890" s="29"/>
      <c r="AF890" s="29"/>
      <c r="AG890" s="29"/>
      <c r="AH890" s="29"/>
      <c r="AI890" s="29"/>
      <c r="AJ890" s="29"/>
    </row>
    <row r="891" spans="11:36" ht="14.25" customHeight="1" x14ac:dyDescent="0.35"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29"/>
      <c r="AB891" s="29"/>
      <c r="AC891" s="29"/>
      <c r="AD891" s="29"/>
      <c r="AE891" s="29"/>
      <c r="AF891" s="29"/>
      <c r="AG891" s="29"/>
      <c r="AH891" s="29"/>
      <c r="AI891" s="29"/>
      <c r="AJ891" s="29"/>
    </row>
    <row r="892" spans="11:36" ht="14.25" customHeight="1" x14ac:dyDescent="0.35"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29"/>
      <c r="AB892" s="29"/>
      <c r="AC892" s="29"/>
      <c r="AD892" s="29"/>
      <c r="AE892" s="29"/>
      <c r="AF892" s="29"/>
      <c r="AG892" s="29"/>
      <c r="AH892" s="29"/>
      <c r="AI892" s="29"/>
      <c r="AJ892" s="29"/>
    </row>
    <row r="893" spans="11:36" ht="14.25" customHeight="1" x14ac:dyDescent="0.35"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29"/>
      <c r="AB893" s="29"/>
      <c r="AC893" s="29"/>
      <c r="AD893" s="29"/>
      <c r="AE893" s="29"/>
      <c r="AF893" s="29"/>
      <c r="AG893" s="29"/>
      <c r="AH893" s="29"/>
      <c r="AI893" s="29"/>
      <c r="AJ893" s="29"/>
    </row>
    <row r="894" spans="11:36" ht="14.25" customHeight="1" x14ac:dyDescent="0.35"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29"/>
      <c r="AB894" s="29"/>
      <c r="AC894" s="29"/>
      <c r="AD894" s="29"/>
      <c r="AE894" s="29"/>
      <c r="AF894" s="29"/>
      <c r="AG894" s="29"/>
      <c r="AH894" s="29"/>
      <c r="AI894" s="29"/>
      <c r="AJ894" s="29"/>
    </row>
    <row r="895" spans="11:36" ht="14.25" customHeight="1" x14ac:dyDescent="0.35"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29"/>
      <c r="AB895" s="29"/>
      <c r="AC895" s="29"/>
      <c r="AD895" s="29"/>
      <c r="AE895" s="29"/>
      <c r="AF895" s="29"/>
      <c r="AG895" s="29"/>
      <c r="AH895" s="29"/>
      <c r="AI895" s="29"/>
      <c r="AJ895" s="29"/>
    </row>
    <row r="896" spans="11:36" ht="14.25" customHeight="1" x14ac:dyDescent="0.35"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29"/>
      <c r="AB896" s="29"/>
      <c r="AC896" s="29"/>
      <c r="AD896" s="29"/>
      <c r="AE896" s="29"/>
      <c r="AF896" s="29"/>
      <c r="AG896" s="29"/>
      <c r="AH896" s="29"/>
      <c r="AI896" s="29"/>
      <c r="AJ896" s="29"/>
    </row>
    <row r="897" spans="11:36" ht="14.25" customHeight="1" x14ac:dyDescent="0.35"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29"/>
      <c r="AB897" s="29"/>
      <c r="AC897" s="29"/>
      <c r="AD897" s="29"/>
      <c r="AE897" s="29"/>
      <c r="AF897" s="29"/>
      <c r="AG897" s="29"/>
      <c r="AH897" s="29"/>
      <c r="AI897" s="29"/>
      <c r="AJ897" s="29"/>
    </row>
    <row r="898" spans="11:36" ht="14.25" customHeight="1" x14ac:dyDescent="0.35"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29"/>
      <c r="AB898" s="29"/>
      <c r="AC898" s="29"/>
      <c r="AD898" s="29"/>
      <c r="AE898" s="29"/>
      <c r="AF898" s="29"/>
      <c r="AG898" s="29"/>
      <c r="AH898" s="29"/>
      <c r="AI898" s="29"/>
      <c r="AJ898" s="29"/>
    </row>
    <row r="899" spans="11:36" ht="14.25" customHeight="1" x14ac:dyDescent="0.35"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29"/>
      <c r="AB899" s="29"/>
      <c r="AC899" s="29"/>
      <c r="AD899" s="29"/>
      <c r="AE899" s="29"/>
      <c r="AF899" s="29"/>
      <c r="AG899" s="29"/>
      <c r="AH899" s="29"/>
      <c r="AI899" s="29"/>
      <c r="AJ899" s="29"/>
    </row>
    <row r="900" spans="11:36" ht="14.25" customHeight="1" x14ac:dyDescent="0.35"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29"/>
      <c r="AB900" s="29"/>
      <c r="AC900" s="29"/>
      <c r="AD900" s="29"/>
      <c r="AE900" s="29"/>
      <c r="AF900" s="29"/>
      <c r="AG900" s="29"/>
      <c r="AH900" s="29"/>
      <c r="AI900" s="29"/>
      <c r="AJ900" s="29"/>
    </row>
    <row r="901" spans="11:36" ht="14.25" customHeight="1" x14ac:dyDescent="0.35"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29"/>
      <c r="AB901" s="29"/>
      <c r="AC901" s="29"/>
      <c r="AD901" s="29"/>
      <c r="AE901" s="29"/>
      <c r="AF901" s="29"/>
      <c r="AG901" s="29"/>
      <c r="AH901" s="29"/>
      <c r="AI901" s="29"/>
      <c r="AJ901" s="29"/>
    </row>
    <row r="902" spans="11:36" ht="14.25" customHeight="1" x14ac:dyDescent="0.35"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29"/>
      <c r="AB902" s="29"/>
      <c r="AC902" s="29"/>
      <c r="AD902" s="29"/>
      <c r="AE902" s="29"/>
      <c r="AF902" s="29"/>
      <c r="AG902" s="29"/>
      <c r="AH902" s="29"/>
      <c r="AI902" s="29"/>
      <c r="AJ902" s="29"/>
    </row>
    <row r="903" spans="11:36" ht="14.25" customHeight="1" x14ac:dyDescent="0.35"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29"/>
      <c r="AB903" s="29"/>
      <c r="AC903" s="29"/>
      <c r="AD903" s="29"/>
      <c r="AE903" s="29"/>
      <c r="AF903" s="29"/>
      <c r="AG903" s="29"/>
      <c r="AH903" s="29"/>
      <c r="AI903" s="29"/>
      <c r="AJ903" s="29"/>
    </row>
    <row r="904" spans="11:36" ht="14.25" customHeight="1" x14ac:dyDescent="0.35"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29"/>
      <c r="AB904" s="29"/>
      <c r="AC904" s="29"/>
      <c r="AD904" s="29"/>
      <c r="AE904" s="29"/>
      <c r="AF904" s="29"/>
      <c r="AG904" s="29"/>
      <c r="AH904" s="29"/>
      <c r="AI904" s="29"/>
      <c r="AJ904" s="29"/>
    </row>
    <row r="905" spans="11:36" ht="14.25" customHeight="1" x14ac:dyDescent="0.35"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29"/>
      <c r="AB905" s="29"/>
      <c r="AC905" s="29"/>
      <c r="AD905" s="29"/>
      <c r="AE905" s="29"/>
      <c r="AF905" s="29"/>
      <c r="AG905" s="29"/>
      <c r="AH905" s="29"/>
      <c r="AI905" s="29"/>
      <c r="AJ905" s="29"/>
    </row>
    <row r="906" spans="11:36" ht="14.25" customHeight="1" x14ac:dyDescent="0.35"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29"/>
      <c r="AB906" s="29"/>
      <c r="AC906" s="29"/>
      <c r="AD906" s="29"/>
      <c r="AE906" s="29"/>
      <c r="AF906" s="29"/>
      <c r="AG906" s="29"/>
      <c r="AH906" s="29"/>
      <c r="AI906" s="29"/>
      <c r="AJ906" s="29"/>
    </row>
    <row r="907" spans="11:36" ht="14.25" customHeight="1" x14ac:dyDescent="0.35"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29"/>
      <c r="AB907" s="29"/>
      <c r="AC907" s="29"/>
      <c r="AD907" s="29"/>
      <c r="AE907" s="29"/>
      <c r="AF907" s="29"/>
      <c r="AG907" s="29"/>
      <c r="AH907" s="29"/>
      <c r="AI907" s="29"/>
      <c r="AJ907" s="29"/>
    </row>
    <row r="908" spans="11:36" ht="14.25" customHeight="1" x14ac:dyDescent="0.35"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29"/>
      <c r="AB908" s="29"/>
      <c r="AC908" s="29"/>
      <c r="AD908" s="29"/>
      <c r="AE908" s="29"/>
      <c r="AF908" s="29"/>
      <c r="AG908" s="29"/>
      <c r="AH908" s="29"/>
      <c r="AI908" s="29"/>
      <c r="AJ908" s="29"/>
    </row>
    <row r="909" spans="11:36" ht="14.25" customHeight="1" x14ac:dyDescent="0.35"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29"/>
      <c r="AB909" s="29"/>
      <c r="AC909" s="29"/>
      <c r="AD909" s="29"/>
      <c r="AE909" s="29"/>
      <c r="AF909" s="29"/>
      <c r="AG909" s="29"/>
      <c r="AH909" s="29"/>
      <c r="AI909" s="29"/>
      <c r="AJ909" s="29"/>
    </row>
    <row r="910" spans="11:36" ht="14.25" customHeight="1" x14ac:dyDescent="0.35"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29"/>
      <c r="AB910" s="29"/>
      <c r="AC910" s="29"/>
      <c r="AD910" s="29"/>
      <c r="AE910" s="29"/>
      <c r="AF910" s="29"/>
      <c r="AG910" s="29"/>
      <c r="AH910" s="29"/>
      <c r="AI910" s="29"/>
      <c r="AJ910" s="29"/>
    </row>
    <row r="911" spans="11:36" ht="14.25" customHeight="1" x14ac:dyDescent="0.35"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29"/>
      <c r="AB911" s="29"/>
      <c r="AC911" s="29"/>
      <c r="AD911" s="29"/>
      <c r="AE911" s="29"/>
      <c r="AF911" s="29"/>
      <c r="AG911" s="29"/>
      <c r="AH911" s="29"/>
      <c r="AI911" s="29"/>
      <c r="AJ911" s="29"/>
    </row>
    <row r="912" spans="11:36" ht="14.25" customHeight="1" x14ac:dyDescent="0.35"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29"/>
      <c r="AB912" s="29"/>
      <c r="AC912" s="29"/>
      <c r="AD912" s="29"/>
      <c r="AE912" s="29"/>
      <c r="AF912" s="29"/>
      <c r="AG912" s="29"/>
      <c r="AH912" s="29"/>
      <c r="AI912" s="29"/>
      <c r="AJ912" s="29"/>
    </row>
    <row r="913" spans="11:36" ht="14.25" customHeight="1" x14ac:dyDescent="0.35"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29"/>
      <c r="AB913" s="29"/>
      <c r="AC913" s="29"/>
      <c r="AD913" s="29"/>
      <c r="AE913" s="29"/>
      <c r="AF913" s="29"/>
      <c r="AG913" s="29"/>
      <c r="AH913" s="29"/>
      <c r="AI913" s="29"/>
      <c r="AJ913" s="29"/>
    </row>
    <row r="914" spans="11:36" ht="14.25" customHeight="1" x14ac:dyDescent="0.35"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29"/>
      <c r="AB914" s="29"/>
      <c r="AC914" s="29"/>
      <c r="AD914" s="29"/>
      <c r="AE914" s="29"/>
      <c r="AF914" s="29"/>
      <c r="AG914" s="29"/>
      <c r="AH914" s="29"/>
      <c r="AI914" s="29"/>
      <c r="AJ914" s="29"/>
    </row>
    <row r="915" spans="11:36" ht="14.25" customHeight="1" x14ac:dyDescent="0.35"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29"/>
      <c r="AB915" s="29"/>
      <c r="AC915" s="29"/>
      <c r="AD915" s="29"/>
      <c r="AE915" s="29"/>
      <c r="AF915" s="29"/>
      <c r="AG915" s="29"/>
      <c r="AH915" s="29"/>
      <c r="AI915" s="29"/>
      <c r="AJ915" s="29"/>
    </row>
    <row r="916" spans="11:36" ht="14.25" customHeight="1" x14ac:dyDescent="0.35"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29"/>
      <c r="AB916" s="29"/>
      <c r="AC916" s="29"/>
      <c r="AD916" s="29"/>
      <c r="AE916" s="29"/>
      <c r="AF916" s="29"/>
      <c r="AG916" s="29"/>
      <c r="AH916" s="29"/>
      <c r="AI916" s="29"/>
      <c r="AJ916" s="29"/>
    </row>
    <row r="917" spans="11:36" ht="14.25" customHeight="1" x14ac:dyDescent="0.35"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29"/>
      <c r="AB917" s="29"/>
      <c r="AC917" s="29"/>
      <c r="AD917" s="29"/>
      <c r="AE917" s="29"/>
      <c r="AF917" s="29"/>
      <c r="AG917" s="29"/>
      <c r="AH917" s="29"/>
      <c r="AI917" s="29"/>
      <c r="AJ917" s="29"/>
    </row>
    <row r="918" spans="11:36" ht="14.25" customHeight="1" x14ac:dyDescent="0.35"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29"/>
      <c r="AB918" s="29"/>
      <c r="AC918" s="29"/>
      <c r="AD918" s="29"/>
      <c r="AE918" s="29"/>
      <c r="AF918" s="29"/>
      <c r="AG918" s="29"/>
      <c r="AH918" s="29"/>
      <c r="AI918" s="29"/>
      <c r="AJ918" s="29"/>
    </row>
    <row r="919" spans="11:36" ht="14.25" customHeight="1" x14ac:dyDescent="0.35"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29"/>
      <c r="AB919" s="29"/>
      <c r="AC919" s="29"/>
      <c r="AD919" s="29"/>
      <c r="AE919" s="29"/>
      <c r="AF919" s="29"/>
      <c r="AG919" s="29"/>
      <c r="AH919" s="29"/>
      <c r="AI919" s="29"/>
      <c r="AJ919" s="29"/>
    </row>
    <row r="920" spans="11:36" ht="14.25" customHeight="1" x14ac:dyDescent="0.35"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29"/>
      <c r="AB920" s="29"/>
      <c r="AC920" s="29"/>
      <c r="AD920" s="29"/>
      <c r="AE920" s="29"/>
      <c r="AF920" s="29"/>
      <c r="AG920" s="29"/>
      <c r="AH920" s="29"/>
      <c r="AI920" s="29"/>
      <c r="AJ920" s="29"/>
    </row>
    <row r="921" spans="11:36" ht="14.25" customHeight="1" x14ac:dyDescent="0.35"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29"/>
      <c r="AB921" s="29"/>
      <c r="AC921" s="29"/>
      <c r="AD921" s="29"/>
      <c r="AE921" s="29"/>
      <c r="AF921" s="29"/>
      <c r="AG921" s="29"/>
      <c r="AH921" s="29"/>
      <c r="AI921" s="29"/>
      <c r="AJ921" s="29"/>
    </row>
    <row r="922" spans="11:36" ht="14.25" customHeight="1" x14ac:dyDescent="0.35"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29"/>
      <c r="AB922" s="29"/>
      <c r="AC922" s="29"/>
      <c r="AD922" s="29"/>
      <c r="AE922" s="29"/>
      <c r="AF922" s="29"/>
      <c r="AG922" s="29"/>
      <c r="AH922" s="29"/>
      <c r="AI922" s="29"/>
      <c r="AJ922" s="29"/>
    </row>
    <row r="923" spans="11:36" ht="14.25" customHeight="1" x14ac:dyDescent="0.35"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29"/>
      <c r="AB923" s="29"/>
      <c r="AC923" s="29"/>
      <c r="AD923" s="29"/>
      <c r="AE923" s="29"/>
      <c r="AF923" s="29"/>
      <c r="AG923" s="29"/>
      <c r="AH923" s="29"/>
      <c r="AI923" s="29"/>
      <c r="AJ923" s="29"/>
    </row>
    <row r="924" spans="11:36" ht="14.25" customHeight="1" x14ac:dyDescent="0.35"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29"/>
      <c r="AB924" s="29"/>
      <c r="AC924" s="29"/>
      <c r="AD924" s="29"/>
      <c r="AE924" s="29"/>
      <c r="AF924" s="29"/>
      <c r="AG924" s="29"/>
      <c r="AH924" s="29"/>
      <c r="AI924" s="29"/>
      <c r="AJ924" s="29"/>
    </row>
    <row r="925" spans="11:36" ht="14.25" customHeight="1" x14ac:dyDescent="0.35"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29"/>
      <c r="AB925" s="29"/>
      <c r="AC925" s="29"/>
      <c r="AD925" s="29"/>
      <c r="AE925" s="29"/>
      <c r="AF925" s="29"/>
      <c r="AG925" s="29"/>
      <c r="AH925" s="29"/>
      <c r="AI925" s="29"/>
      <c r="AJ925" s="29"/>
    </row>
    <row r="926" spans="11:36" ht="14.25" customHeight="1" x14ac:dyDescent="0.35"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29"/>
      <c r="AB926" s="29"/>
      <c r="AC926" s="29"/>
      <c r="AD926" s="29"/>
      <c r="AE926" s="29"/>
      <c r="AF926" s="29"/>
      <c r="AG926" s="29"/>
      <c r="AH926" s="29"/>
      <c r="AI926" s="29"/>
      <c r="AJ926" s="29"/>
    </row>
    <row r="927" spans="11:36" ht="14.25" customHeight="1" x14ac:dyDescent="0.35"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29"/>
      <c r="AB927" s="29"/>
      <c r="AC927" s="29"/>
      <c r="AD927" s="29"/>
      <c r="AE927" s="29"/>
      <c r="AF927" s="29"/>
      <c r="AG927" s="29"/>
      <c r="AH927" s="29"/>
      <c r="AI927" s="29"/>
      <c r="AJ927" s="29"/>
    </row>
    <row r="928" spans="11:36" ht="14.25" customHeight="1" x14ac:dyDescent="0.35"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29"/>
      <c r="AB928" s="29"/>
      <c r="AC928" s="29"/>
      <c r="AD928" s="29"/>
      <c r="AE928" s="29"/>
      <c r="AF928" s="29"/>
      <c r="AG928" s="29"/>
      <c r="AH928" s="29"/>
      <c r="AI928" s="29"/>
      <c r="AJ928" s="29"/>
    </row>
    <row r="929" spans="11:36" ht="14.25" customHeight="1" x14ac:dyDescent="0.35"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29"/>
      <c r="AB929" s="29"/>
      <c r="AC929" s="29"/>
      <c r="AD929" s="29"/>
      <c r="AE929" s="29"/>
      <c r="AF929" s="29"/>
      <c r="AG929" s="29"/>
      <c r="AH929" s="29"/>
      <c r="AI929" s="29"/>
      <c r="AJ929" s="29"/>
    </row>
    <row r="930" spans="11:36" ht="14.25" customHeight="1" x14ac:dyDescent="0.35"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29"/>
      <c r="AB930" s="29"/>
      <c r="AC930" s="29"/>
      <c r="AD930" s="29"/>
      <c r="AE930" s="29"/>
      <c r="AF930" s="29"/>
      <c r="AG930" s="29"/>
      <c r="AH930" s="29"/>
      <c r="AI930" s="29"/>
      <c r="AJ930" s="29"/>
    </row>
    <row r="931" spans="11:36" ht="14.25" customHeight="1" x14ac:dyDescent="0.35"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29"/>
      <c r="AB931" s="29"/>
      <c r="AC931" s="29"/>
      <c r="AD931" s="29"/>
      <c r="AE931" s="29"/>
      <c r="AF931" s="29"/>
      <c r="AG931" s="29"/>
      <c r="AH931" s="29"/>
      <c r="AI931" s="29"/>
      <c r="AJ931" s="29"/>
    </row>
    <row r="932" spans="11:36" ht="14.25" customHeight="1" x14ac:dyDescent="0.35"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29"/>
      <c r="AB932" s="29"/>
      <c r="AC932" s="29"/>
      <c r="AD932" s="29"/>
      <c r="AE932" s="29"/>
      <c r="AF932" s="29"/>
      <c r="AG932" s="29"/>
      <c r="AH932" s="29"/>
      <c r="AI932" s="29"/>
      <c r="AJ932" s="29"/>
    </row>
    <row r="933" spans="11:36" ht="14.25" customHeight="1" x14ac:dyDescent="0.35"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29"/>
      <c r="AB933" s="29"/>
      <c r="AC933" s="29"/>
      <c r="AD933" s="29"/>
      <c r="AE933" s="29"/>
      <c r="AF933" s="29"/>
      <c r="AG933" s="29"/>
      <c r="AH933" s="29"/>
      <c r="AI933" s="29"/>
      <c r="AJ933" s="29"/>
    </row>
    <row r="934" spans="11:36" ht="14.25" customHeight="1" x14ac:dyDescent="0.35"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29"/>
      <c r="AB934" s="29"/>
      <c r="AC934" s="29"/>
      <c r="AD934" s="29"/>
      <c r="AE934" s="29"/>
      <c r="AF934" s="29"/>
      <c r="AG934" s="29"/>
      <c r="AH934" s="29"/>
      <c r="AI934" s="29"/>
      <c r="AJ934" s="29"/>
    </row>
    <row r="935" spans="11:36" ht="14.25" customHeight="1" x14ac:dyDescent="0.35"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29"/>
      <c r="AB935" s="29"/>
      <c r="AC935" s="29"/>
      <c r="AD935" s="29"/>
      <c r="AE935" s="29"/>
      <c r="AF935" s="29"/>
      <c r="AG935" s="29"/>
      <c r="AH935" s="29"/>
      <c r="AI935" s="29"/>
      <c r="AJ935" s="29"/>
    </row>
    <row r="936" spans="11:36" ht="14.25" customHeight="1" x14ac:dyDescent="0.35"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29"/>
      <c r="AB936" s="29"/>
      <c r="AC936" s="29"/>
      <c r="AD936" s="29"/>
      <c r="AE936" s="29"/>
      <c r="AF936" s="29"/>
      <c r="AG936" s="29"/>
      <c r="AH936" s="29"/>
      <c r="AI936" s="29"/>
      <c r="AJ936" s="29"/>
    </row>
    <row r="937" spans="11:36" ht="14.25" customHeight="1" x14ac:dyDescent="0.35"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29"/>
      <c r="AB937" s="29"/>
      <c r="AC937" s="29"/>
      <c r="AD937" s="29"/>
      <c r="AE937" s="29"/>
      <c r="AF937" s="29"/>
      <c r="AG937" s="29"/>
      <c r="AH937" s="29"/>
      <c r="AI937" s="29"/>
      <c r="AJ937" s="29"/>
    </row>
    <row r="938" spans="11:36" ht="14.25" customHeight="1" x14ac:dyDescent="0.35"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29"/>
      <c r="AB938" s="29"/>
      <c r="AC938" s="29"/>
      <c r="AD938" s="29"/>
      <c r="AE938" s="29"/>
      <c r="AF938" s="29"/>
      <c r="AG938" s="29"/>
      <c r="AH938" s="29"/>
      <c r="AI938" s="29"/>
      <c r="AJ938" s="29"/>
    </row>
    <row r="939" spans="11:36" ht="14.25" customHeight="1" x14ac:dyDescent="0.35"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29"/>
      <c r="AB939" s="29"/>
      <c r="AC939" s="29"/>
      <c r="AD939" s="29"/>
      <c r="AE939" s="29"/>
      <c r="AF939" s="29"/>
      <c r="AG939" s="29"/>
      <c r="AH939" s="29"/>
      <c r="AI939" s="29"/>
      <c r="AJ939" s="29"/>
    </row>
    <row r="940" spans="11:36" ht="14.25" customHeight="1" x14ac:dyDescent="0.35"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29"/>
      <c r="AB940" s="29"/>
      <c r="AC940" s="29"/>
      <c r="AD940" s="29"/>
      <c r="AE940" s="29"/>
      <c r="AF940" s="29"/>
      <c r="AG940" s="29"/>
      <c r="AH940" s="29"/>
      <c r="AI940" s="29"/>
      <c r="AJ940" s="29"/>
    </row>
    <row r="941" spans="11:36" ht="14.25" customHeight="1" x14ac:dyDescent="0.35"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29"/>
      <c r="AB941" s="29"/>
      <c r="AC941" s="29"/>
      <c r="AD941" s="29"/>
      <c r="AE941" s="29"/>
      <c r="AF941" s="29"/>
      <c r="AG941" s="29"/>
      <c r="AH941" s="29"/>
      <c r="AI941" s="29"/>
      <c r="AJ941" s="29"/>
    </row>
    <row r="942" spans="11:36" ht="14.25" customHeight="1" x14ac:dyDescent="0.35"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29"/>
      <c r="AB942" s="29"/>
      <c r="AC942" s="29"/>
      <c r="AD942" s="29"/>
      <c r="AE942" s="29"/>
      <c r="AF942" s="29"/>
      <c r="AG942" s="29"/>
      <c r="AH942" s="29"/>
      <c r="AI942" s="29"/>
      <c r="AJ942" s="29"/>
    </row>
    <row r="943" spans="11:36" ht="14.25" customHeight="1" x14ac:dyDescent="0.35"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29"/>
      <c r="AB943" s="29"/>
      <c r="AC943" s="29"/>
      <c r="AD943" s="29"/>
      <c r="AE943" s="29"/>
      <c r="AF943" s="29"/>
      <c r="AG943" s="29"/>
      <c r="AH943" s="29"/>
      <c r="AI943" s="29"/>
      <c r="AJ943" s="29"/>
    </row>
    <row r="944" spans="11:36" ht="14.25" customHeight="1" x14ac:dyDescent="0.35"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29"/>
      <c r="AB944" s="29"/>
      <c r="AC944" s="29"/>
      <c r="AD944" s="29"/>
      <c r="AE944" s="29"/>
      <c r="AF944" s="29"/>
      <c r="AG944" s="29"/>
      <c r="AH944" s="29"/>
      <c r="AI944" s="29"/>
      <c r="AJ944" s="29"/>
    </row>
    <row r="945" spans="11:36" ht="14.25" customHeight="1" x14ac:dyDescent="0.35"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29"/>
      <c r="AB945" s="29"/>
      <c r="AC945" s="29"/>
      <c r="AD945" s="29"/>
      <c r="AE945" s="29"/>
      <c r="AF945" s="29"/>
      <c r="AG945" s="29"/>
      <c r="AH945" s="29"/>
      <c r="AI945" s="29"/>
      <c r="AJ945" s="29"/>
    </row>
    <row r="946" spans="11:36" ht="14.25" customHeight="1" x14ac:dyDescent="0.35"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29"/>
      <c r="AB946" s="29"/>
      <c r="AC946" s="29"/>
      <c r="AD946" s="29"/>
      <c r="AE946" s="29"/>
      <c r="AF946" s="29"/>
      <c r="AG946" s="29"/>
      <c r="AH946" s="29"/>
      <c r="AI946" s="29"/>
      <c r="AJ946" s="29"/>
    </row>
    <row r="947" spans="11:36" ht="14.25" customHeight="1" x14ac:dyDescent="0.35"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29"/>
      <c r="AB947" s="29"/>
      <c r="AC947" s="29"/>
      <c r="AD947" s="29"/>
      <c r="AE947" s="29"/>
      <c r="AF947" s="29"/>
      <c r="AG947" s="29"/>
      <c r="AH947" s="29"/>
      <c r="AI947" s="29"/>
      <c r="AJ947" s="29"/>
    </row>
    <row r="948" spans="11:36" ht="14.25" customHeight="1" x14ac:dyDescent="0.35"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29"/>
      <c r="AB948" s="29"/>
      <c r="AC948" s="29"/>
      <c r="AD948" s="29"/>
      <c r="AE948" s="29"/>
      <c r="AF948" s="29"/>
      <c r="AG948" s="29"/>
      <c r="AH948" s="29"/>
      <c r="AI948" s="29"/>
      <c r="AJ948" s="29"/>
    </row>
    <row r="949" spans="11:36" ht="14.25" customHeight="1" x14ac:dyDescent="0.35"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29"/>
      <c r="AB949" s="29"/>
      <c r="AC949" s="29"/>
      <c r="AD949" s="29"/>
      <c r="AE949" s="29"/>
      <c r="AF949" s="29"/>
      <c r="AG949" s="29"/>
      <c r="AH949" s="29"/>
      <c r="AI949" s="29"/>
      <c r="AJ949" s="29"/>
    </row>
    <row r="950" spans="11:36" ht="14.25" customHeight="1" x14ac:dyDescent="0.35"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29"/>
      <c r="AB950" s="29"/>
      <c r="AC950" s="29"/>
      <c r="AD950" s="29"/>
      <c r="AE950" s="29"/>
      <c r="AF950" s="29"/>
      <c r="AG950" s="29"/>
      <c r="AH950" s="29"/>
      <c r="AI950" s="29"/>
      <c r="AJ950" s="29"/>
    </row>
    <row r="951" spans="11:36" ht="14.25" customHeight="1" x14ac:dyDescent="0.35"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29"/>
      <c r="AB951" s="29"/>
      <c r="AC951" s="29"/>
      <c r="AD951" s="29"/>
      <c r="AE951" s="29"/>
      <c r="AF951" s="29"/>
      <c r="AG951" s="29"/>
      <c r="AH951" s="29"/>
      <c r="AI951" s="29"/>
      <c r="AJ951" s="29"/>
    </row>
    <row r="952" spans="11:36" ht="14.25" customHeight="1" x14ac:dyDescent="0.35"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29"/>
      <c r="AB952" s="29"/>
      <c r="AC952" s="29"/>
      <c r="AD952" s="29"/>
      <c r="AE952" s="29"/>
      <c r="AF952" s="29"/>
      <c r="AG952" s="29"/>
      <c r="AH952" s="29"/>
      <c r="AI952" s="29"/>
      <c r="AJ952" s="29"/>
    </row>
    <row r="953" spans="11:36" ht="14.25" customHeight="1" x14ac:dyDescent="0.35"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29"/>
      <c r="AB953" s="29"/>
      <c r="AC953" s="29"/>
      <c r="AD953" s="29"/>
      <c r="AE953" s="29"/>
      <c r="AF953" s="29"/>
      <c r="AG953" s="29"/>
      <c r="AH953" s="29"/>
      <c r="AI953" s="29"/>
      <c r="AJ953" s="29"/>
    </row>
    <row r="954" spans="11:36" ht="14.25" customHeight="1" x14ac:dyDescent="0.35"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29"/>
      <c r="AB954" s="29"/>
      <c r="AC954" s="29"/>
      <c r="AD954" s="29"/>
      <c r="AE954" s="29"/>
      <c r="AF954" s="29"/>
      <c r="AG954" s="29"/>
      <c r="AH954" s="29"/>
      <c r="AI954" s="29"/>
      <c r="AJ954" s="29"/>
    </row>
    <row r="955" spans="11:36" ht="14.25" customHeight="1" x14ac:dyDescent="0.35"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29"/>
      <c r="AB955" s="29"/>
      <c r="AC955" s="29"/>
      <c r="AD955" s="29"/>
      <c r="AE955" s="29"/>
      <c r="AF955" s="29"/>
      <c r="AG955" s="29"/>
      <c r="AH955" s="29"/>
      <c r="AI955" s="29"/>
      <c r="AJ955" s="29"/>
    </row>
    <row r="956" spans="11:36" ht="14.25" customHeight="1" x14ac:dyDescent="0.35"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29"/>
      <c r="AB956" s="29"/>
      <c r="AC956" s="29"/>
      <c r="AD956" s="29"/>
      <c r="AE956" s="29"/>
      <c r="AF956" s="29"/>
      <c r="AG956" s="29"/>
      <c r="AH956" s="29"/>
      <c r="AI956" s="29"/>
      <c r="AJ956" s="29"/>
    </row>
    <row r="957" spans="11:36" ht="14.25" customHeight="1" x14ac:dyDescent="0.35"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29"/>
      <c r="AB957" s="29"/>
      <c r="AC957" s="29"/>
      <c r="AD957" s="29"/>
      <c r="AE957" s="29"/>
      <c r="AF957" s="29"/>
      <c r="AG957" s="29"/>
      <c r="AH957" s="29"/>
      <c r="AI957" s="29"/>
      <c r="AJ957" s="29"/>
    </row>
    <row r="958" spans="11:36" ht="14.25" customHeight="1" x14ac:dyDescent="0.35"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29"/>
      <c r="AB958" s="29"/>
      <c r="AC958" s="29"/>
      <c r="AD958" s="29"/>
      <c r="AE958" s="29"/>
      <c r="AF958" s="29"/>
      <c r="AG958" s="29"/>
      <c r="AH958" s="29"/>
      <c r="AI958" s="29"/>
      <c r="AJ958" s="29"/>
    </row>
    <row r="959" spans="11:36" ht="14.25" customHeight="1" x14ac:dyDescent="0.35"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29"/>
      <c r="AB959" s="29"/>
      <c r="AC959" s="29"/>
      <c r="AD959" s="29"/>
      <c r="AE959" s="29"/>
      <c r="AF959" s="29"/>
      <c r="AG959" s="29"/>
      <c r="AH959" s="29"/>
      <c r="AI959" s="29"/>
      <c r="AJ959" s="29"/>
    </row>
    <row r="960" spans="11:36" ht="14.25" customHeight="1" x14ac:dyDescent="0.35"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29"/>
      <c r="AB960" s="29"/>
      <c r="AC960" s="29"/>
      <c r="AD960" s="29"/>
      <c r="AE960" s="29"/>
      <c r="AF960" s="29"/>
      <c r="AG960" s="29"/>
      <c r="AH960" s="29"/>
      <c r="AI960" s="29"/>
      <c r="AJ960" s="29"/>
    </row>
    <row r="961" spans="11:36" ht="14.25" customHeight="1" x14ac:dyDescent="0.35"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29"/>
      <c r="AB961" s="29"/>
      <c r="AC961" s="29"/>
      <c r="AD961" s="29"/>
      <c r="AE961" s="29"/>
      <c r="AF961" s="29"/>
      <c r="AG961" s="29"/>
      <c r="AH961" s="29"/>
      <c r="AI961" s="29"/>
      <c r="AJ961" s="29"/>
    </row>
    <row r="962" spans="11:36" ht="14.25" customHeight="1" x14ac:dyDescent="0.35"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29"/>
      <c r="AB962" s="29"/>
      <c r="AC962" s="29"/>
      <c r="AD962" s="29"/>
      <c r="AE962" s="29"/>
      <c r="AF962" s="29"/>
      <c r="AG962" s="29"/>
      <c r="AH962" s="29"/>
      <c r="AI962" s="29"/>
      <c r="AJ962" s="29"/>
    </row>
    <row r="963" spans="11:36" ht="14.25" customHeight="1" x14ac:dyDescent="0.35"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29"/>
      <c r="AB963" s="29"/>
      <c r="AC963" s="29"/>
      <c r="AD963" s="29"/>
      <c r="AE963" s="29"/>
      <c r="AF963" s="29"/>
      <c r="AG963" s="29"/>
      <c r="AH963" s="29"/>
      <c r="AI963" s="29"/>
      <c r="AJ963" s="29"/>
    </row>
    <row r="964" spans="11:36" ht="14.25" customHeight="1" x14ac:dyDescent="0.35"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29"/>
      <c r="AB964" s="29"/>
      <c r="AC964" s="29"/>
      <c r="AD964" s="29"/>
      <c r="AE964" s="29"/>
      <c r="AF964" s="29"/>
      <c r="AG964" s="29"/>
      <c r="AH964" s="29"/>
      <c r="AI964" s="29"/>
      <c r="AJ964" s="29"/>
    </row>
    <row r="965" spans="11:36" ht="14.25" customHeight="1" x14ac:dyDescent="0.35"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29"/>
      <c r="AB965" s="29"/>
      <c r="AC965" s="29"/>
      <c r="AD965" s="29"/>
      <c r="AE965" s="29"/>
      <c r="AF965" s="29"/>
      <c r="AG965" s="29"/>
      <c r="AH965" s="29"/>
      <c r="AI965" s="29"/>
      <c r="AJ965" s="29"/>
    </row>
    <row r="966" spans="11:36" ht="14.25" customHeight="1" x14ac:dyDescent="0.35"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29"/>
      <c r="AB966" s="29"/>
      <c r="AC966" s="29"/>
      <c r="AD966" s="29"/>
      <c r="AE966" s="29"/>
      <c r="AF966" s="29"/>
      <c r="AG966" s="29"/>
      <c r="AH966" s="29"/>
      <c r="AI966" s="29"/>
      <c r="AJ966" s="29"/>
    </row>
    <row r="967" spans="11:36" ht="14.25" customHeight="1" x14ac:dyDescent="0.35"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29"/>
      <c r="AB967" s="29"/>
      <c r="AC967" s="29"/>
      <c r="AD967" s="29"/>
      <c r="AE967" s="29"/>
      <c r="AF967" s="29"/>
      <c r="AG967" s="29"/>
      <c r="AH967" s="29"/>
      <c r="AI967" s="29"/>
      <c r="AJ967" s="29"/>
    </row>
    <row r="968" spans="11:36" ht="14.25" customHeight="1" x14ac:dyDescent="0.35"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29"/>
      <c r="AB968" s="29"/>
      <c r="AC968" s="29"/>
      <c r="AD968" s="29"/>
      <c r="AE968" s="29"/>
      <c r="AF968" s="29"/>
      <c r="AG968" s="29"/>
      <c r="AH968" s="29"/>
      <c r="AI968" s="29"/>
      <c r="AJ968" s="29"/>
    </row>
    <row r="969" spans="11:36" ht="14.25" customHeight="1" x14ac:dyDescent="0.35"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29"/>
      <c r="AB969" s="29"/>
      <c r="AC969" s="29"/>
      <c r="AD969" s="29"/>
      <c r="AE969" s="29"/>
      <c r="AF969" s="29"/>
      <c r="AG969" s="29"/>
      <c r="AH969" s="29"/>
      <c r="AI969" s="29"/>
      <c r="AJ969" s="29"/>
    </row>
    <row r="970" spans="11:36" ht="14.25" customHeight="1" x14ac:dyDescent="0.35"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29"/>
      <c r="AB970" s="29"/>
      <c r="AC970" s="29"/>
      <c r="AD970" s="29"/>
      <c r="AE970" s="29"/>
      <c r="AF970" s="29"/>
      <c r="AG970" s="29"/>
      <c r="AH970" s="29"/>
      <c r="AI970" s="29"/>
      <c r="AJ970" s="29"/>
    </row>
    <row r="971" spans="11:36" ht="14.25" customHeight="1" x14ac:dyDescent="0.35"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29"/>
      <c r="AB971" s="29"/>
      <c r="AC971" s="29"/>
      <c r="AD971" s="29"/>
      <c r="AE971" s="29"/>
      <c r="AF971" s="29"/>
      <c r="AG971" s="29"/>
      <c r="AH971" s="29"/>
      <c r="AI971" s="29"/>
      <c r="AJ971" s="29"/>
    </row>
    <row r="972" spans="11:36" ht="14.25" customHeight="1" x14ac:dyDescent="0.35"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29"/>
      <c r="AB972" s="29"/>
      <c r="AC972" s="29"/>
      <c r="AD972" s="29"/>
      <c r="AE972" s="29"/>
      <c r="AF972" s="29"/>
      <c r="AG972" s="29"/>
      <c r="AH972" s="29"/>
      <c r="AI972" s="29"/>
      <c r="AJ972" s="29"/>
    </row>
    <row r="973" spans="11:36" ht="14.25" customHeight="1" x14ac:dyDescent="0.35"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29"/>
      <c r="AB973" s="29"/>
      <c r="AC973" s="29"/>
      <c r="AD973" s="29"/>
      <c r="AE973" s="29"/>
      <c r="AF973" s="29"/>
      <c r="AG973" s="29"/>
      <c r="AH973" s="29"/>
      <c r="AI973" s="29"/>
      <c r="AJ973" s="29"/>
    </row>
    <row r="974" spans="11:36" ht="14.25" customHeight="1" x14ac:dyDescent="0.35"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29"/>
      <c r="AB974" s="29"/>
      <c r="AC974" s="29"/>
      <c r="AD974" s="29"/>
      <c r="AE974" s="29"/>
      <c r="AF974" s="29"/>
      <c r="AG974" s="29"/>
      <c r="AH974" s="29"/>
      <c r="AI974" s="29"/>
      <c r="AJ974" s="29"/>
    </row>
    <row r="975" spans="11:36" ht="14.25" customHeight="1" x14ac:dyDescent="0.35"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29"/>
      <c r="AB975" s="29"/>
      <c r="AC975" s="29"/>
      <c r="AD975" s="29"/>
      <c r="AE975" s="29"/>
      <c r="AF975" s="29"/>
      <c r="AG975" s="29"/>
      <c r="AH975" s="29"/>
      <c r="AI975" s="29"/>
      <c r="AJ975" s="29"/>
    </row>
    <row r="976" spans="11:36" ht="14.25" customHeight="1" x14ac:dyDescent="0.35"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29"/>
      <c r="AB976" s="29"/>
      <c r="AC976" s="29"/>
      <c r="AD976" s="29"/>
      <c r="AE976" s="29"/>
      <c r="AF976" s="29"/>
      <c r="AG976" s="29"/>
      <c r="AH976" s="29"/>
      <c r="AI976" s="29"/>
      <c r="AJ976" s="29"/>
    </row>
    <row r="977" spans="11:36" ht="14.25" customHeight="1" x14ac:dyDescent="0.35"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29"/>
      <c r="AB977" s="29"/>
      <c r="AC977" s="29"/>
      <c r="AD977" s="29"/>
      <c r="AE977" s="29"/>
      <c r="AF977" s="29"/>
      <c r="AG977" s="29"/>
      <c r="AH977" s="29"/>
      <c r="AI977" s="29"/>
      <c r="AJ977" s="29"/>
    </row>
    <row r="978" spans="11:36" ht="14.25" customHeight="1" x14ac:dyDescent="0.35"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29"/>
      <c r="AB978" s="29"/>
      <c r="AC978" s="29"/>
      <c r="AD978" s="29"/>
      <c r="AE978" s="29"/>
      <c r="AF978" s="29"/>
      <c r="AG978" s="29"/>
      <c r="AH978" s="29"/>
      <c r="AI978" s="29"/>
      <c r="AJ978" s="29"/>
    </row>
    <row r="979" spans="11:36" ht="14.25" customHeight="1" x14ac:dyDescent="0.35"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29"/>
      <c r="AB979" s="29"/>
      <c r="AC979" s="29"/>
      <c r="AD979" s="29"/>
      <c r="AE979" s="29"/>
      <c r="AF979" s="29"/>
      <c r="AG979" s="29"/>
      <c r="AH979" s="29"/>
      <c r="AI979" s="29"/>
      <c r="AJ979" s="29"/>
    </row>
    <row r="980" spans="11:36" ht="14.25" customHeight="1" x14ac:dyDescent="0.35"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29"/>
      <c r="AB980" s="29"/>
      <c r="AC980" s="29"/>
      <c r="AD980" s="29"/>
      <c r="AE980" s="29"/>
      <c r="AF980" s="29"/>
      <c r="AG980" s="29"/>
      <c r="AH980" s="29"/>
      <c r="AI980" s="29"/>
      <c r="AJ980" s="29"/>
    </row>
    <row r="981" spans="11:36" ht="14.25" customHeight="1" x14ac:dyDescent="0.35"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29"/>
      <c r="AB981" s="29"/>
      <c r="AC981" s="29"/>
      <c r="AD981" s="29"/>
      <c r="AE981" s="29"/>
      <c r="AF981" s="29"/>
      <c r="AG981" s="29"/>
      <c r="AH981" s="29"/>
      <c r="AI981" s="29"/>
      <c r="AJ981" s="29"/>
    </row>
    <row r="982" spans="11:36" ht="14.25" customHeight="1" x14ac:dyDescent="0.35"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29"/>
      <c r="AB982" s="29"/>
      <c r="AC982" s="29"/>
      <c r="AD982" s="29"/>
      <c r="AE982" s="29"/>
      <c r="AF982" s="29"/>
      <c r="AG982" s="29"/>
      <c r="AH982" s="29"/>
      <c r="AI982" s="29"/>
      <c r="AJ982" s="29"/>
    </row>
    <row r="983" spans="11:36" ht="14.25" customHeight="1" x14ac:dyDescent="0.35"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29"/>
      <c r="AB983" s="29"/>
      <c r="AC983" s="29"/>
      <c r="AD983" s="29"/>
      <c r="AE983" s="29"/>
      <c r="AF983" s="29"/>
      <c r="AG983" s="29"/>
      <c r="AH983" s="29"/>
      <c r="AI983" s="29"/>
      <c r="AJ983" s="29"/>
    </row>
    <row r="984" spans="11:36" ht="14.25" customHeight="1" x14ac:dyDescent="0.35"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29"/>
      <c r="AB984" s="29"/>
      <c r="AC984" s="29"/>
      <c r="AD984" s="29"/>
      <c r="AE984" s="29"/>
      <c r="AF984" s="29"/>
      <c r="AG984" s="29"/>
      <c r="AH984" s="29"/>
      <c r="AI984" s="29"/>
      <c r="AJ984" s="29"/>
    </row>
    <row r="985" spans="11:36" ht="14.25" customHeight="1" x14ac:dyDescent="0.35"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29"/>
      <c r="AB985" s="29"/>
      <c r="AC985" s="29"/>
      <c r="AD985" s="29"/>
      <c r="AE985" s="29"/>
      <c r="AF985" s="29"/>
      <c r="AG985" s="29"/>
      <c r="AH985" s="29"/>
      <c r="AI985" s="29"/>
      <c r="AJ985" s="29"/>
    </row>
    <row r="986" spans="11:36" ht="14.25" customHeight="1" x14ac:dyDescent="0.35"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29"/>
      <c r="AB986" s="29"/>
      <c r="AC986" s="29"/>
      <c r="AD986" s="29"/>
      <c r="AE986" s="29"/>
      <c r="AF986" s="29"/>
      <c r="AG986" s="29"/>
      <c r="AH986" s="29"/>
      <c r="AI986" s="29"/>
      <c r="AJ986" s="29"/>
    </row>
    <row r="987" spans="11:36" ht="14.25" customHeight="1" x14ac:dyDescent="0.35"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29"/>
      <c r="AB987" s="29"/>
      <c r="AC987" s="29"/>
      <c r="AD987" s="29"/>
      <c r="AE987" s="29"/>
      <c r="AF987" s="29"/>
      <c r="AG987" s="29"/>
      <c r="AH987" s="29"/>
      <c r="AI987" s="29"/>
      <c r="AJ987" s="29"/>
    </row>
    <row r="988" spans="11:36" ht="14.25" customHeight="1" x14ac:dyDescent="0.35"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29"/>
      <c r="AB988" s="29"/>
      <c r="AC988" s="29"/>
      <c r="AD988" s="29"/>
      <c r="AE988" s="29"/>
      <c r="AF988" s="29"/>
      <c r="AG988" s="29"/>
      <c r="AH988" s="29"/>
      <c r="AI988" s="29"/>
      <c r="AJ988" s="29"/>
    </row>
    <row r="989" spans="11:36" ht="14.25" customHeight="1" x14ac:dyDescent="0.35"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29"/>
      <c r="AB989" s="29"/>
      <c r="AC989" s="29"/>
      <c r="AD989" s="29"/>
      <c r="AE989" s="29"/>
      <c r="AF989" s="29"/>
      <c r="AG989" s="29"/>
      <c r="AH989" s="29"/>
      <c r="AI989" s="29"/>
      <c r="AJ989" s="29"/>
    </row>
    <row r="990" spans="11:36" ht="14.25" customHeight="1" x14ac:dyDescent="0.35"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29"/>
      <c r="AB990" s="29"/>
      <c r="AC990" s="29"/>
      <c r="AD990" s="29"/>
      <c r="AE990" s="29"/>
      <c r="AF990" s="29"/>
      <c r="AG990" s="29"/>
      <c r="AH990" s="29"/>
      <c r="AI990" s="29"/>
      <c r="AJ990" s="29"/>
    </row>
    <row r="991" spans="11:36" ht="14.25" customHeight="1" x14ac:dyDescent="0.35"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29"/>
      <c r="AB991" s="29"/>
      <c r="AC991" s="29"/>
      <c r="AD991" s="29"/>
      <c r="AE991" s="29"/>
      <c r="AF991" s="29"/>
      <c r="AG991" s="29"/>
      <c r="AH991" s="29"/>
      <c r="AI991" s="29"/>
      <c r="AJ991" s="29"/>
    </row>
    <row r="992" spans="11:36" ht="14.25" customHeight="1" x14ac:dyDescent="0.35"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29"/>
      <c r="AB992" s="29"/>
      <c r="AC992" s="29"/>
      <c r="AD992" s="29"/>
      <c r="AE992" s="29"/>
      <c r="AF992" s="29"/>
      <c r="AG992" s="29"/>
      <c r="AH992" s="29"/>
      <c r="AI992" s="29"/>
      <c r="AJ992" s="29"/>
    </row>
    <row r="993" spans="11:36" ht="14.25" customHeight="1" x14ac:dyDescent="0.35"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29"/>
      <c r="AB993" s="29"/>
      <c r="AC993" s="29"/>
      <c r="AD993" s="29"/>
      <c r="AE993" s="29"/>
      <c r="AF993" s="29"/>
      <c r="AG993" s="29"/>
      <c r="AH993" s="29"/>
      <c r="AI993" s="29"/>
      <c r="AJ993" s="29"/>
    </row>
    <row r="994" spans="11:36" ht="14.25" customHeight="1" x14ac:dyDescent="0.35"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29"/>
      <c r="AB994" s="29"/>
      <c r="AC994" s="29"/>
      <c r="AD994" s="29"/>
      <c r="AE994" s="29"/>
      <c r="AF994" s="29"/>
      <c r="AG994" s="29"/>
      <c r="AH994" s="29"/>
      <c r="AI994" s="29"/>
      <c r="AJ994" s="29"/>
    </row>
    <row r="995" spans="11:36" ht="14.25" customHeight="1" x14ac:dyDescent="0.35"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29"/>
      <c r="AB995" s="29"/>
      <c r="AC995" s="29"/>
      <c r="AD995" s="29"/>
      <c r="AE995" s="29"/>
      <c r="AF995" s="29"/>
      <c r="AG995" s="29"/>
      <c r="AH995" s="29"/>
      <c r="AI995" s="29"/>
      <c r="AJ995" s="29"/>
    </row>
    <row r="996" spans="11:36" ht="14.25" customHeight="1" x14ac:dyDescent="0.35"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29"/>
      <c r="AB996" s="29"/>
      <c r="AC996" s="29"/>
      <c r="AD996" s="29"/>
      <c r="AE996" s="29"/>
      <c r="AF996" s="29"/>
      <c r="AG996" s="29"/>
      <c r="AH996" s="29"/>
      <c r="AI996" s="29"/>
      <c r="AJ996" s="29"/>
    </row>
    <row r="997" spans="11:36" ht="14.25" customHeight="1" x14ac:dyDescent="0.35"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29"/>
      <c r="AB997" s="29"/>
      <c r="AC997" s="29"/>
      <c r="AD997" s="29"/>
      <c r="AE997" s="29"/>
      <c r="AF997" s="29"/>
      <c r="AG997" s="29"/>
      <c r="AH997" s="29"/>
      <c r="AI997" s="29"/>
      <c r="AJ997" s="29"/>
    </row>
    <row r="998" spans="11:36" ht="14.25" customHeight="1" x14ac:dyDescent="0.35"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29"/>
      <c r="AB998" s="29"/>
      <c r="AC998" s="29"/>
      <c r="AD998" s="29"/>
      <c r="AE998" s="29"/>
      <c r="AF998" s="29"/>
      <c r="AG998" s="29"/>
      <c r="AH998" s="29"/>
      <c r="AI998" s="29"/>
      <c r="AJ998" s="29"/>
    </row>
    <row r="999" spans="11:36" ht="14.25" customHeight="1" x14ac:dyDescent="0.35"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29"/>
      <c r="AB999" s="29"/>
      <c r="AC999" s="29"/>
      <c r="AD999" s="29"/>
      <c r="AE999" s="29"/>
      <c r="AF999" s="29"/>
      <c r="AG999" s="29"/>
      <c r="AH999" s="29"/>
      <c r="AI999" s="29"/>
      <c r="AJ999" s="29"/>
    </row>
    <row r="1000" spans="11:36" ht="14.25" customHeight="1" x14ac:dyDescent="0.35"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29"/>
      <c r="AB1000" s="29"/>
      <c r="AC1000" s="29"/>
      <c r="AD1000" s="29"/>
      <c r="AE1000" s="29"/>
      <c r="AF1000" s="29"/>
      <c r="AG1000" s="29"/>
      <c r="AH1000" s="29"/>
      <c r="AI1000" s="29"/>
      <c r="AJ1000" s="29"/>
    </row>
    <row r="1001" spans="11:36" ht="14.25" customHeight="1" x14ac:dyDescent="0.35"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29"/>
      <c r="AB1001" s="29"/>
      <c r="AC1001" s="29"/>
      <c r="AD1001" s="29"/>
      <c r="AE1001" s="29"/>
      <c r="AF1001" s="29"/>
      <c r="AG1001" s="29"/>
      <c r="AH1001" s="29"/>
      <c r="AI1001" s="29"/>
      <c r="AJ1001" s="29"/>
    </row>
    <row r="1002" spans="11:36" ht="14.25" customHeight="1" x14ac:dyDescent="0.35"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29"/>
      <c r="AB1002" s="29"/>
      <c r="AC1002" s="29"/>
      <c r="AD1002" s="29"/>
      <c r="AE1002" s="29"/>
      <c r="AF1002" s="29"/>
      <c r="AG1002" s="29"/>
      <c r="AH1002" s="29"/>
      <c r="AI1002" s="29"/>
      <c r="AJ1002" s="29"/>
    </row>
    <row r="1003" spans="11:36" ht="14.25" customHeight="1" x14ac:dyDescent="0.35">
      <c r="K1003" s="29"/>
      <c r="L1003" s="29"/>
      <c r="M1003" s="29"/>
      <c r="N1003" s="29"/>
      <c r="O1003" s="29"/>
      <c r="P1003" s="29"/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29"/>
      <c r="AB1003" s="29"/>
      <c r="AC1003" s="29"/>
      <c r="AD1003" s="29"/>
      <c r="AE1003" s="29"/>
      <c r="AF1003" s="29"/>
      <c r="AG1003" s="29"/>
      <c r="AH1003" s="29"/>
      <c r="AI1003" s="29"/>
      <c r="AJ1003" s="29"/>
    </row>
  </sheetData>
  <sheetProtection algorithmName="SHA-512" hashValue="94VWThopZQB/lmb/uUWgvnIZ2si6rv2X/Gr8aIaQpXZaR4Pr0vfkXV4XEWlGEILZXZ7e7T23FBHDkoteUTxGBw==" saltValue="g65+P13LIIJdoFe9or6Puw==" spinCount="100000" sheet="1" objects="1" scenarios="1"/>
  <dataConsolidate/>
  <mergeCells count="80">
    <mergeCell ref="A40:D40"/>
    <mergeCell ref="I26:J26"/>
    <mergeCell ref="F14:G14"/>
    <mergeCell ref="A36:G37"/>
    <mergeCell ref="A35:G35"/>
    <mergeCell ref="A3:J4"/>
    <mergeCell ref="A6:F6"/>
    <mergeCell ref="A7:H7"/>
    <mergeCell ref="I35:J35"/>
    <mergeCell ref="I34:J34"/>
    <mergeCell ref="I28:J28"/>
    <mergeCell ref="I29:J29"/>
    <mergeCell ref="I30:J30"/>
    <mergeCell ref="I31:J31"/>
    <mergeCell ref="I32:J32"/>
    <mergeCell ref="I33:J33"/>
    <mergeCell ref="I23:J23"/>
    <mergeCell ref="B18:E18"/>
    <mergeCell ref="I18:J18"/>
    <mergeCell ref="I25:J25"/>
    <mergeCell ref="B19:E19"/>
    <mergeCell ref="B20:E20"/>
    <mergeCell ref="B21:E21"/>
    <mergeCell ref="B22:E22"/>
    <mergeCell ref="I22:J22"/>
    <mergeCell ref="I19:J19"/>
    <mergeCell ref="I20:J20"/>
    <mergeCell ref="I21:J21"/>
    <mergeCell ref="I24:J24"/>
    <mergeCell ref="Q37:V39"/>
    <mergeCell ref="I37:J37"/>
    <mergeCell ref="I36:J36"/>
    <mergeCell ref="I38:J38"/>
    <mergeCell ref="I39:J39"/>
    <mergeCell ref="H47:J47"/>
    <mergeCell ref="H40:J46"/>
    <mergeCell ref="B32:E32"/>
    <mergeCell ref="B23:E23"/>
    <mergeCell ref="B24:E24"/>
    <mergeCell ref="B25:E25"/>
    <mergeCell ref="B26:E26"/>
    <mergeCell ref="B27:E27"/>
    <mergeCell ref="B33:E33"/>
    <mergeCell ref="B28:E28"/>
    <mergeCell ref="B29:E29"/>
    <mergeCell ref="B30:E30"/>
    <mergeCell ref="B31:E31"/>
    <mergeCell ref="B34:E34"/>
    <mergeCell ref="A38:G39"/>
    <mergeCell ref="I27:J27"/>
    <mergeCell ref="A8:J8"/>
    <mergeCell ref="A43:D43"/>
    <mergeCell ref="A41:D41"/>
    <mergeCell ref="A42:D42"/>
    <mergeCell ref="A9:J10"/>
    <mergeCell ref="B11:G11"/>
    <mergeCell ref="I13:J13"/>
    <mergeCell ref="I14:J14"/>
    <mergeCell ref="A14:B14"/>
    <mergeCell ref="B12:G13"/>
    <mergeCell ref="B16:E16"/>
    <mergeCell ref="B15:E15"/>
    <mergeCell ref="I15:J15"/>
    <mergeCell ref="I16:J16"/>
    <mergeCell ref="B17:E17"/>
    <mergeCell ref="I17:J17"/>
    <mergeCell ref="A44:C44"/>
    <mergeCell ref="E44:G44"/>
    <mergeCell ref="E45:G45"/>
    <mergeCell ref="E46:G46"/>
    <mergeCell ref="E47:G47"/>
    <mergeCell ref="C45:D45"/>
    <mergeCell ref="C46:D46"/>
    <mergeCell ref="A45:B45"/>
    <mergeCell ref="A46:B46"/>
    <mergeCell ref="A47:D47"/>
    <mergeCell ref="E40:G40"/>
    <mergeCell ref="E41:G41"/>
    <mergeCell ref="E42:G42"/>
    <mergeCell ref="E43:G43"/>
  </mergeCells>
  <dataValidations count="3">
    <dataValidation type="list" allowBlank="1" showInputMessage="1" showErrorMessage="1" sqref="M13 I14:J14" xr:uid="{00000000-0002-0000-0000-000000000000}">
      <formula1>"State,InterState"</formula1>
    </dataValidation>
    <dataValidation type="list" allowBlank="1" showInputMessage="1" showErrorMessage="1" sqref="B16:E30" xr:uid="{00000000-0002-0000-0000-000001000000}">
      <formula1>Product_List</formula1>
    </dataValidation>
    <dataValidation type="list" allowBlank="1" showInputMessage="1" showErrorMessage="1" sqref="B11:G11" xr:uid="{00000000-0002-0000-0000-000002000000}">
      <formula1>Party_Name</formula1>
    </dataValidation>
  </dataValidations>
  <pageMargins left="0.37916666666666665" right="0.15123456790123457" top="0.75" bottom="0.75" header="0" footer="0"/>
  <pageSetup scale="98" orientation="portrait" r:id="rId1"/>
  <rowBreaks count="1" manualBreakCount="1">
    <brk id="53" min="11" max="3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2"/>
  <sheetViews>
    <sheetView topLeftCell="A4" zoomScale="67" zoomScaleNormal="67" workbookViewId="0">
      <selection activeCell="B92" sqref="B92"/>
    </sheetView>
  </sheetViews>
  <sheetFormatPr defaultRowHeight="20.149999999999999" customHeight="1" x14ac:dyDescent="0.3"/>
  <cols>
    <col min="1" max="1" width="61.58203125" style="12" customWidth="1"/>
    <col min="2" max="2" width="93.08203125" style="12" customWidth="1"/>
    <col min="3" max="3" width="22.83203125" style="6" customWidth="1"/>
  </cols>
  <sheetData>
    <row r="1" spans="1:3" ht="30" customHeight="1" x14ac:dyDescent="0.3">
      <c r="A1" s="17" t="s">
        <v>26</v>
      </c>
      <c r="B1" s="17" t="s">
        <v>27</v>
      </c>
      <c r="C1" s="17" t="s">
        <v>28</v>
      </c>
    </row>
    <row r="2" spans="1:3" ht="20.149999999999999" customHeight="1" x14ac:dyDescent="0.3">
      <c r="A2" s="9" t="s">
        <v>72</v>
      </c>
      <c r="B2" s="10" t="s">
        <v>279</v>
      </c>
      <c r="C2" s="3" t="s">
        <v>73</v>
      </c>
    </row>
    <row r="3" spans="1:3" ht="20.149999999999999" customHeight="1" x14ac:dyDescent="0.3">
      <c r="A3" s="9" t="s">
        <v>72</v>
      </c>
      <c r="B3" s="10" t="s">
        <v>278</v>
      </c>
      <c r="C3" s="3" t="s">
        <v>73</v>
      </c>
    </row>
    <row r="4" spans="1:3" ht="20.149999999999999" customHeight="1" x14ac:dyDescent="0.3">
      <c r="A4" s="9" t="s">
        <v>233</v>
      </c>
      <c r="B4" s="10" t="s">
        <v>234</v>
      </c>
      <c r="C4" s="4" t="s">
        <v>235</v>
      </c>
    </row>
    <row r="5" spans="1:3" ht="20.149999999999999" customHeight="1" x14ac:dyDescent="0.3">
      <c r="A5" s="11" t="s">
        <v>336</v>
      </c>
      <c r="B5" s="13" t="s">
        <v>330</v>
      </c>
      <c r="C5" s="8" t="s">
        <v>331</v>
      </c>
    </row>
    <row r="6" spans="1:3" ht="20.149999999999999" customHeight="1" x14ac:dyDescent="0.3">
      <c r="A6" s="9" t="s">
        <v>95</v>
      </c>
      <c r="B6" s="10" t="s">
        <v>96</v>
      </c>
      <c r="C6" s="3" t="s">
        <v>32</v>
      </c>
    </row>
    <row r="7" spans="1:3" ht="20.149999999999999" customHeight="1" x14ac:dyDescent="0.3">
      <c r="A7" s="9" t="s">
        <v>117</v>
      </c>
      <c r="B7" s="10" t="s">
        <v>118</v>
      </c>
      <c r="C7" s="3" t="s">
        <v>48</v>
      </c>
    </row>
    <row r="8" spans="1:3" ht="20.149999999999999" customHeight="1" x14ac:dyDescent="0.3">
      <c r="A8" s="10" t="s">
        <v>273</v>
      </c>
      <c r="B8" s="10" t="s">
        <v>274</v>
      </c>
      <c r="C8" s="3" t="s">
        <v>272</v>
      </c>
    </row>
    <row r="9" spans="1:3" ht="20.149999999999999" customHeight="1" x14ac:dyDescent="0.3">
      <c r="A9" s="9" t="s">
        <v>114</v>
      </c>
      <c r="B9" s="10" t="s">
        <v>115</v>
      </c>
      <c r="C9" s="3" t="s">
        <v>116</v>
      </c>
    </row>
    <row r="10" spans="1:3" ht="20.149999999999999" customHeight="1" x14ac:dyDescent="0.3">
      <c r="A10" s="9" t="s">
        <v>84</v>
      </c>
      <c r="B10" s="10" t="s">
        <v>85</v>
      </c>
      <c r="C10" s="3" t="s">
        <v>86</v>
      </c>
    </row>
    <row r="11" spans="1:3" ht="20.149999999999999" customHeight="1" x14ac:dyDescent="0.3">
      <c r="A11" s="9" t="s">
        <v>107</v>
      </c>
      <c r="B11" s="10" t="s">
        <v>108</v>
      </c>
      <c r="C11" s="3" t="s">
        <v>109</v>
      </c>
    </row>
    <row r="12" spans="1:3" ht="20.149999999999999" customHeight="1" x14ac:dyDescent="0.3">
      <c r="A12" s="9" t="s">
        <v>107</v>
      </c>
      <c r="B12" s="10" t="s">
        <v>108</v>
      </c>
      <c r="C12" s="3" t="s">
        <v>109</v>
      </c>
    </row>
    <row r="13" spans="1:3" ht="20.149999999999999" customHeight="1" x14ac:dyDescent="0.3">
      <c r="A13" s="9" t="s">
        <v>200</v>
      </c>
      <c r="B13" s="10" t="s">
        <v>201</v>
      </c>
      <c r="C13" s="3" t="s">
        <v>202</v>
      </c>
    </row>
    <row r="14" spans="1:3" ht="20.149999999999999" customHeight="1" x14ac:dyDescent="0.3">
      <c r="A14" s="9" t="s">
        <v>113</v>
      </c>
      <c r="B14" s="10" t="s">
        <v>119</v>
      </c>
      <c r="C14" s="3" t="s">
        <v>120</v>
      </c>
    </row>
    <row r="15" spans="1:3" ht="20.149999999999999" customHeight="1" x14ac:dyDescent="0.3">
      <c r="A15" s="9" t="s">
        <v>263</v>
      </c>
      <c r="B15" s="10" t="s">
        <v>264</v>
      </c>
      <c r="C15" s="3" t="s">
        <v>265</v>
      </c>
    </row>
    <row r="16" spans="1:3" ht="20.149999999999999" customHeight="1" x14ac:dyDescent="0.3">
      <c r="A16" s="9" t="s">
        <v>157</v>
      </c>
      <c r="B16" s="10" t="s">
        <v>158</v>
      </c>
      <c r="C16" s="3" t="s">
        <v>43</v>
      </c>
    </row>
    <row r="17" spans="1:3" ht="20.149999999999999" customHeight="1" x14ac:dyDescent="0.3">
      <c r="A17" s="19" t="s">
        <v>363</v>
      </c>
      <c r="B17" s="18" t="s">
        <v>364</v>
      </c>
      <c r="C17" s="8" t="s">
        <v>365</v>
      </c>
    </row>
    <row r="18" spans="1:3" ht="20.149999999999999" customHeight="1" x14ac:dyDescent="0.3">
      <c r="A18" s="11" t="s">
        <v>268</v>
      </c>
      <c r="B18" s="13" t="s">
        <v>269</v>
      </c>
      <c r="C18" s="8" t="s">
        <v>270</v>
      </c>
    </row>
    <row r="19" spans="1:3" ht="20.149999999999999" customHeight="1" x14ac:dyDescent="0.3">
      <c r="A19" s="9" t="s">
        <v>244</v>
      </c>
      <c r="B19" s="10" t="s">
        <v>245</v>
      </c>
      <c r="C19" s="3" t="s">
        <v>246</v>
      </c>
    </row>
    <row r="20" spans="1:3" ht="20.149999999999999" customHeight="1" x14ac:dyDescent="0.3">
      <c r="A20" s="9" t="s">
        <v>101</v>
      </c>
      <c r="B20" s="10" t="s">
        <v>105</v>
      </c>
      <c r="C20" s="3" t="s">
        <v>106</v>
      </c>
    </row>
    <row r="21" spans="1:3" ht="20.149999999999999" customHeight="1" x14ac:dyDescent="0.3">
      <c r="A21" s="9" t="s">
        <v>227</v>
      </c>
      <c r="B21" s="10" t="s">
        <v>228</v>
      </c>
      <c r="C21" s="3" t="s">
        <v>229</v>
      </c>
    </row>
    <row r="22" spans="1:3" ht="20.149999999999999" customHeight="1" x14ac:dyDescent="0.3">
      <c r="A22" s="9" t="s">
        <v>172</v>
      </c>
      <c r="B22" s="10" t="s">
        <v>173</v>
      </c>
      <c r="C22" s="3" t="s">
        <v>47</v>
      </c>
    </row>
    <row r="23" spans="1:3" ht="20.149999999999999" customHeight="1" x14ac:dyDescent="0.3">
      <c r="A23" s="9" t="s">
        <v>35</v>
      </c>
      <c r="B23" s="10" t="s">
        <v>112</v>
      </c>
      <c r="C23" s="3" t="s">
        <v>36</v>
      </c>
    </row>
    <row r="24" spans="1:3" ht="20.149999999999999" customHeight="1" x14ac:dyDescent="0.3">
      <c r="A24" s="9" t="s">
        <v>159</v>
      </c>
      <c r="B24" s="10" t="s">
        <v>160</v>
      </c>
      <c r="C24" s="3" t="s">
        <v>161</v>
      </c>
    </row>
    <row r="25" spans="1:3" ht="20.149999999999999" customHeight="1" x14ac:dyDescent="0.3">
      <c r="A25" s="9" t="s">
        <v>117</v>
      </c>
      <c r="B25" s="10" t="s">
        <v>177</v>
      </c>
      <c r="C25" s="3" t="s">
        <v>48</v>
      </c>
    </row>
    <row r="26" spans="1:3" ht="20.149999999999999" customHeight="1" x14ac:dyDescent="0.3">
      <c r="A26" s="9" t="s">
        <v>181</v>
      </c>
      <c r="B26" s="10" t="s">
        <v>182</v>
      </c>
      <c r="C26" s="3" t="s">
        <v>183</v>
      </c>
    </row>
    <row r="27" spans="1:3" ht="20.149999999999999" customHeight="1" x14ac:dyDescent="0.3">
      <c r="A27" s="11" t="s">
        <v>322</v>
      </c>
      <c r="B27" s="13" t="s">
        <v>324</v>
      </c>
      <c r="C27" s="8" t="s">
        <v>323</v>
      </c>
    </row>
    <row r="28" spans="1:3" ht="20.149999999999999" customHeight="1" x14ac:dyDescent="0.3">
      <c r="A28" s="11" t="s">
        <v>306</v>
      </c>
      <c r="B28" s="13" t="s">
        <v>307</v>
      </c>
      <c r="C28" s="8" t="s">
        <v>309</v>
      </c>
    </row>
    <row r="29" spans="1:3" ht="20.149999999999999" customHeight="1" x14ac:dyDescent="0.3">
      <c r="A29" s="9" t="s">
        <v>92</v>
      </c>
      <c r="B29" s="10" t="s">
        <v>93</v>
      </c>
      <c r="C29" s="3" t="s">
        <v>94</v>
      </c>
    </row>
    <row r="30" spans="1:3" ht="20.149999999999999" customHeight="1" x14ac:dyDescent="0.3">
      <c r="A30" s="11" t="s">
        <v>316</v>
      </c>
      <c r="B30" s="13" t="s">
        <v>317</v>
      </c>
      <c r="C30" s="8" t="s">
        <v>318</v>
      </c>
    </row>
    <row r="31" spans="1:3" ht="20.149999999999999" customHeight="1" x14ac:dyDescent="0.3">
      <c r="A31" s="11" t="s">
        <v>284</v>
      </c>
      <c r="B31" s="13" t="s">
        <v>285</v>
      </c>
      <c r="C31" s="8" t="s">
        <v>286</v>
      </c>
    </row>
    <row r="32" spans="1:3" ht="20.149999999999999" customHeight="1" x14ac:dyDescent="0.3">
      <c r="A32" s="11" t="s">
        <v>296</v>
      </c>
      <c r="B32" s="13" t="s">
        <v>297</v>
      </c>
      <c r="C32" s="8" t="s">
        <v>298</v>
      </c>
    </row>
    <row r="33" spans="1:3" ht="20.149999999999999" customHeight="1" x14ac:dyDescent="0.3">
      <c r="A33" s="9" t="s">
        <v>149</v>
      </c>
      <c r="B33" s="10" t="s">
        <v>150</v>
      </c>
      <c r="C33" s="3" t="s">
        <v>151</v>
      </c>
    </row>
    <row r="34" spans="1:3" ht="20.149999999999999" customHeight="1" x14ac:dyDescent="0.3">
      <c r="A34" s="11" t="s">
        <v>287</v>
      </c>
      <c r="B34" s="13" t="s">
        <v>288</v>
      </c>
      <c r="C34" s="8" t="s">
        <v>289</v>
      </c>
    </row>
    <row r="35" spans="1:3" ht="20.149999999999999" customHeight="1" x14ac:dyDescent="0.3">
      <c r="A35" s="9" t="s">
        <v>126</v>
      </c>
      <c r="B35" s="10" t="s">
        <v>127</v>
      </c>
      <c r="C35" s="3" t="s">
        <v>128</v>
      </c>
    </row>
    <row r="36" spans="1:3" ht="20.149999999999999" customHeight="1" x14ac:dyDescent="0.3">
      <c r="A36" s="22" t="s">
        <v>186</v>
      </c>
      <c r="B36" s="22" t="s">
        <v>187</v>
      </c>
      <c r="C36" s="5" t="s">
        <v>188</v>
      </c>
    </row>
    <row r="37" spans="1:3" ht="20.149999999999999" customHeight="1" x14ac:dyDescent="0.3">
      <c r="A37" s="11" t="s">
        <v>319</v>
      </c>
      <c r="B37" s="13" t="s">
        <v>320</v>
      </c>
      <c r="C37" s="8" t="s">
        <v>321</v>
      </c>
    </row>
    <row r="38" spans="1:3" ht="20.149999999999999" customHeight="1" x14ac:dyDescent="0.3">
      <c r="A38" s="9" t="s">
        <v>102</v>
      </c>
      <c r="B38" s="10" t="s">
        <v>103</v>
      </c>
      <c r="C38" s="3" t="s">
        <v>104</v>
      </c>
    </row>
    <row r="39" spans="1:3" ht="20.149999999999999" customHeight="1" x14ac:dyDescent="0.3">
      <c r="A39" s="19" t="s">
        <v>352</v>
      </c>
      <c r="B39" s="18" t="s">
        <v>353</v>
      </c>
      <c r="C39" s="8" t="s">
        <v>354</v>
      </c>
    </row>
    <row r="40" spans="1:3" ht="20.149999999999999" customHeight="1" x14ac:dyDescent="0.3">
      <c r="A40" s="9" t="s">
        <v>230</v>
      </c>
      <c r="B40" s="10" t="s">
        <v>231</v>
      </c>
      <c r="C40" s="4" t="s">
        <v>232</v>
      </c>
    </row>
    <row r="41" spans="1:3" ht="20.149999999999999" customHeight="1" x14ac:dyDescent="0.3">
      <c r="A41" s="9" t="s">
        <v>242</v>
      </c>
      <c r="B41" s="10" t="s">
        <v>243</v>
      </c>
      <c r="C41" s="3" t="s">
        <v>294</v>
      </c>
    </row>
    <row r="42" spans="1:3" ht="20.149999999999999" customHeight="1" x14ac:dyDescent="0.3">
      <c r="A42" s="19" t="s">
        <v>369</v>
      </c>
      <c r="B42" s="18" t="s">
        <v>371</v>
      </c>
      <c r="C42" s="8" t="s">
        <v>370</v>
      </c>
    </row>
    <row r="43" spans="1:3" ht="20.149999999999999" customHeight="1" x14ac:dyDescent="0.3">
      <c r="A43" s="9" t="s">
        <v>76</v>
      </c>
      <c r="B43" s="10" t="s">
        <v>77</v>
      </c>
      <c r="C43" s="3" t="s">
        <v>30</v>
      </c>
    </row>
    <row r="44" spans="1:3" ht="20.149999999999999" customHeight="1" x14ac:dyDescent="0.3">
      <c r="A44" s="9" t="s">
        <v>139</v>
      </c>
      <c r="B44" s="10" t="s">
        <v>142</v>
      </c>
      <c r="C44" s="3" t="s">
        <v>29</v>
      </c>
    </row>
    <row r="45" spans="1:3" ht="20.149999999999999" customHeight="1" x14ac:dyDescent="0.3">
      <c r="A45" s="9" t="s">
        <v>76</v>
      </c>
      <c r="B45" s="10" t="s">
        <v>167</v>
      </c>
      <c r="C45" s="3" t="s">
        <v>30</v>
      </c>
    </row>
    <row r="46" spans="1:3" ht="20.149999999999999" customHeight="1" x14ac:dyDescent="0.3">
      <c r="A46" s="11" t="s">
        <v>313</v>
      </c>
      <c r="B46" s="13" t="s">
        <v>314</v>
      </c>
      <c r="C46" s="8" t="s">
        <v>315</v>
      </c>
    </row>
    <row r="47" spans="1:3" ht="20.149999999999999" customHeight="1" x14ac:dyDescent="0.3">
      <c r="A47" s="9" t="s">
        <v>78</v>
      </c>
      <c r="B47" s="10" t="s">
        <v>79</v>
      </c>
      <c r="C47" s="3" t="s">
        <v>80</v>
      </c>
    </row>
    <row r="48" spans="1:3" ht="20.149999999999999" customHeight="1" x14ac:dyDescent="0.3">
      <c r="A48" s="11" t="s">
        <v>340</v>
      </c>
      <c r="B48" s="13" t="s">
        <v>341</v>
      </c>
      <c r="C48" s="8" t="s">
        <v>342</v>
      </c>
    </row>
    <row r="49" spans="1:3" ht="20.149999999999999" customHeight="1" x14ac:dyDescent="0.3">
      <c r="A49" s="19" t="s">
        <v>366</v>
      </c>
      <c r="B49" s="18" t="s">
        <v>367</v>
      </c>
      <c r="C49" s="8" t="s">
        <v>368</v>
      </c>
    </row>
    <row r="50" spans="1:3" ht="20.149999999999999" customHeight="1" x14ac:dyDescent="0.3">
      <c r="A50" s="9" t="s">
        <v>165</v>
      </c>
      <c r="B50" s="10" t="s">
        <v>166</v>
      </c>
      <c r="C50" s="3" t="s">
        <v>44</v>
      </c>
    </row>
    <row r="51" spans="1:3" ht="20.149999999999999" customHeight="1" x14ac:dyDescent="0.3">
      <c r="A51" s="19" t="s">
        <v>375</v>
      </c>
      <c r="B51" s="18" t="s">
        <v>376</v>
      </c>
      <c r="C51" s="21" t="s">
        <v>377</v>
      </c>
    </row>
    <row r="52" spans="1:3" ht="20.149999999999999" customHeight="1" x14ac:dyDescent="0.3">
      <c r="A52" s="9" t="s">
        <v>155</v>
      </c>
      <c r="B52" s="10" t="s">
        <v>156</v>
      </c>
      <c r="C52" s="3" t="s">
        <v>42</v>
      </c>
    </row>
    <row r="53" spans="1:3" ht="20.149999999999999" customHeight="1" x14ac:dyDescent="0.3">
      <c r="A53" s="9" t="s">
        <v>69</v>
      </c>
      <c r="B53" s="10" t="s">
        <v>70</v>
      </c>
      <c r="C53" s="5" t="s">
        <v>71</v>
      </c>
    </row>
    <row r="54" spans="1:3" ht="20.149999999999999" customHeight="1" x14ac:dyDescent="0.3">
      <c r="A54" s="9" t="s">
        <v>132</v>
      </c>
      <c r="B54" s="10" t="s">
        <v>133</v>
      </c>
      <c r="C54" s="3" t="s">
        <v>38</v>
      </c>
    </row>
    <row r="55" spans="1:3" ht="20.149999999999999" customHeight="1" x14ac:dyDescent="0.3">
      <c r="A55" s="9" t="s">
        <v>129</v>
      </c>
      <c r="B55" s="10" t="s">
        <v>130</v>
      </c>
      <c r="C55" s="3" t="s">
        <v>131</v>
      </c>
    </row>
    <row r="56" spans="1:3" ht="20.149999999999999" customHeight="1" x14ac:dyDescent="0.3">
      <c r="A56" s="9" t="s">
        <v>250</v>
      </c>
      <c r="B56" s="10" t="s">
        <v>251</v>
      </c>
      <c r="C56" s="3" t="s">
        <v>252</v>
      </c>
    </row>
    <row r="57" spans="1:3" ht="20.149999999999999" customHeight="1" x14ac:dyDescent="0.3">
      <c r="A57" s="9" t="s">
        <v>195</v>
      </c>
      <c r="B57" s="10" t="s">
        <v>196</v>
      </c>
      <c r="C57" s="3" t="s">
        <v>197</v>
      </c>
    </row>
    <row r="58" spans="1:3" ht="20.149999999999999" customHeight="1" x14ac:dyDescent="0.3">
      <c r="A58" s="9" t="s">
        <v>174</v>
      </c>
      <c r="B58" s="10" t="s">
        <v>175</v>
      </c>
      <c r="C58" s="3" t="s">
        <v>176</v>
      </c>
    </row>
    <row r="59" spans="1:3" ht="20.149999999999999" customHeight="1" x14ac:dyDescent="0.3">
      <c r="A59" s="9" t="s">
        <v>189</v>
      </c>
      <c r="B59" s="10" t="s">
        <v>190</v>
      </c>
      <c r="C59" s="3" t="s">
        <v>51</v>
      </c>
    </row>
    <row r="60" spans="1:3" ht="20.149999999999999" customHeight="1" x14ac:dyDescent="0.3">
      <c r="A60" s="9" t="s">
        <v>97</v>
      </c>
      <c r="B60" s="10" t="s">
        <v>98</v>
      </c>
      <c r="C60" s="3" t="s">
        <v>257</v>
      </c>
    </row>
    <row r="61" spans="1:3" ht="20.149999999999999" customHeight="1" x14ac:dyDescent="0.3">
      <c r="A61" s="11" t="s">
        <v>275</v>
      </c>
      <c r="B61" s="13" t="s">
        <v>276</v>
      </c>
      <c r="C61" s="8" t="s">
        <v>277</v>
      </c>
    </row>
    <row r="62" spans="1:3" ht="20.149999999999999" customHeight="1" x14ac:dyDescent="0.3">
      <c r="A62" s="9" t="s">
        <v>170</v>
      </c>
      <c r="B62" s="10" t="s">
        <v>171</v>
      </c>
      <c r="C62" s="3" t="s">
        <v>46</v>
      </c>
    </row>
    <row r="63" spans="1:3" ht="20.149999999999999" customHeight="1" x14ac:dyDescent="0.3">
      <c r="A63" s="9" t="s">
        <v>209</v>
      </c>
      <c r="B63" s="10" t="s">
        <v>210</v>
      </c>
      <c r="C63" s="3" t="s">
        <v>211</v>
      </c>
    </row>
    <row r="64" spans="1:3" ht="20.149999999999999" customHeight="1" x14ac:dyDescent="0.3">
      <c r="A64" s="19" t="s">
        <v>359</v>
      </c>
      <c r="B64" s="18" t="s">
        <v>210</v>
      </c>
      <c r="C64" s="8" t="s">
        <v>211</v>
      </c>
    </row>
    <row r="65" spans="1:3" ht="20.149999999999999" customHeight="1" x14ac:dyDescent="0.3">
      <c r="A65" s="9" t="s">
        <v>168</v>
      </c>
      <c r="B65" s="10" t="s">
        <v>169</v>
      </c>
      <c r="C65" s="3" t="s">
        <v>45</v>
      </c>
    </row>
    <row r="66" spans="1:3" ht="20.149999999999999" customHeight="1" x14ac:dyDescent="0.3">
      <c r="A66" s="9" t="s">
        <v>239</v>
      </c>
      <c r="B66" s="10" t="s">
        <v>240</v>
      </c>
      <c r="C66" s="3" t="s">
        <v>241</v>
      </c>
    </row>
    <row r="67" spans="1:3" ht="20.149999999999999" customHeight="1" x14ac:dyDescent="0.3">
      <c r="A67" s="19" t="s">
        <v>378</v>
      </c>
      <c r="B67" s="18" t="s">
        <v>379</v>
      </c>
      <c r="C67" s="8" t="s">
        <v>380</v>
      </c>
    </row>
    <row r="68" spans="1:3" ht="20.149999999999999" customHeight="1" x14ac:dyDescent="0.3">
      <c r="A68" s="9" t="s">
        <v>247</v>
      </c>
      <c r="B68" s="10" t="s">
        <v>248</v>
      </c>
      <c r="C68" s="3" t="s">
        <v>249</v>
      </c>
    </row>
    <row r="69" spans="1:3" ht="20.149999999999999" customHeight="1" x14ac:dyDescent="0.3">
      <c r="A69" s="9" t="s">
        <v>134</v>
      </c>
      <c r="B69" s="10" t="s">
        <v>135</v>
      </c>
      <c r="C69" s="3" t="s">
        <v>136</v>
      </c>
    </row>
    <row r="70" spans="1:3" ht="20.149999999999999" customHeight="1" x14ac:dyDescent="0.3">
      <c r="A70" s="19" t="s">
        <v>372</v>
      </c>
      <c r="B70" s="18" t="s">
        <v>373</v>
      </c>
      <c r="C70" s="8" t="s">
        <v>374</v>
      </c>
    </row>
    <row r="71" spans="1:3" ht="20.149999999999999" customHeight="1" x14ac:dyDescent="0.3">
      <c r="A71" s="9" t="s">
        <v>198</v>
      </c>
      <c r="B71" s="10" t="s">
        <v>199</v>
      </c>
      <c r="C71" s="3" t="s">
        <v>53</v>
      </c>
    </row>
    <row r="72" spans="1:3" ht="20.149999999999999" customHeight="1" x14ac:dyDescent="0.3">
      <c r="A72" s="9" t="s">
        <v>224</v>
      </c>
      <c r="B72" s="10" t="s">
        <v>225</v>
      </c>
      <c r="C72" s="5" t="s">
        <v>226</v>
      </c>
    </row>
    <row r="73" spans="1:3" ht="20.149999999999999" customHeight="1" x14ac:dyDescent="0.3">
      <c r="A73" s="9" t="s">
        <v>221</v>
      </c>
      <c r="B73" s="10" t="s">
        <v>222</v>
      </c>
      <c r="C73" s="3" t="s">
        <v>223</v>
      </c>
    </row>
    <row r="74" spans="1:3" ht="20.149999999999999" customHeight="1" x14ac:dyDescent="0.3">
      <c r="A74" s="11" t="s">
        <v>337</v>
      </c>
      <c r="B74" s="13" t="s">
        <v>338</v>
      </c>
      <c r="C74" s="8" t="s">
        <v>339</v>
      </c>
    </row>
    <row r="75" spans="1:3" ht="20.149999999999999" customHeight="1" x14ac:dyDescent="0.3">
      <c r="A75" s="9" t="s">
        <v>121</v>
      </c>
      <c r="B75" s="10" t="s">
        <v>123</v>
      </c>
      <c r="C75" s="3" t="s">
        <v>122</v>
      </c>
    </row>
    <row r="76" spans="1:3" ht="20.149999999999999" customHeight="1" x14ac:dyDescent="0.3">
      <c r="A76" s="9" t="s">
        <v>206</v>
      </c>
      <c r="B76" s="10" t="s">
        <v>207</v>
      </c>
      <c r="C76" s="3" t="s">
        <v>208</v>
      </c>
    </row>
    <row r="77" spans="1:3" ht="20.149999999999999" customHeight="1" x14ac:dyDescent="0.3">
      <c r="A77" s="9" t="s">
        <v>90</v>
      </c>
      <c r="B77" s="10" t="s">
        <v>91</v>
      </c>
      <c r="C77" s="3" t="s">
        <v>31</v>
      </c>
    </row>
    <row r="78" spans="1:3" ht="20.149999999999999" customHeight="1" x14ac:dyDescent="0.3">
      <c r="A78" s="9" t="s">
        <v>124</v>
      </c>
      <c r="B78" s="10" t="s">
        <v>125</v>
      </c>
      <c r="C78" s="3" t="s">
        <v>37</v>
      </c>
    </row>
    <row r="79" spans="1:3" ht="20.149999999999999" customHeight="1" x14ac:dyDescent="0.3">
      <c r="A79" s="10" t="s">
        <v>144</v>
      </c>
      <c r="B79" s="10" t="s">
        <v>145</v>
      </c>
      <c r="C79" s="3" t="s">
        <v>41</v>
      </c>
    </row>
    <row r="80" spans="1:3" ht="20.149999999999999" customHeight="1" x14ac:dyDescent="0.3">
      <c r="A80" s="10" t="s">
        <v>143</v>
      </c>
      <c r="B80" s="10" t="s">
        <v>141</v>
      </c>
      <c r="C80" s="3" t="s">
        <v>40</v>
      </c>
    </row>
    <row r="81" spans="1:3" ht="20.149999999999999" customHeight="1" x14ac:dyDescent="0.3">
      <c r="A81" s="10" t="s">
        <v>140</v>
      </c>
      <c r="B81" s="10" t="s">
        <v>141</v>
      </c>
      <c r="C81" s="3" t="s">
        <v>40</v>
      </c>
    </row>
    <row r="82" spans="1:3" ht="20.149999999999999" customHeight="1" x14ac:dyDescent="0.3">
      <c r="A82" s="10" t="s">
        <v>253</v>
      </c>
      <c r="B82" s="10" t="s">
        <v>254</v>
      </c>
      <c r="C82" s="3" t="s">
        <v>255</v>
      </c>
    </row>
    <row r="83" spans="1:3" ht="20.149999999999999" customHeight="1" x14ac:dyDescent="0.3">
      <c r="A83" s="10" t="s">
        <v>146</v>
      </c>
      <c r="B83" s="10" t="s">
        <v>147</v>
      </c>
      <c r="C83" s="3" t="s">
        <v>148</v>
      </c>
    </row>
    <row r="84" spans="1:3" ht="20.149999999999999" customHeight="1" x14ac:dyDescent="0.3">
      <c r="A84" s="10" t="s">
        <v>152</v>
      </c>
      <c r="B84" s="10" t="s">
        <v>153</v>
      </c>
      <c r="C84" s="3" t="s">
        <v>154</v>
      </c>
    </row>
    <row r="85" spans="1:3" ht="20.149999999999999" customHeight="1" x14ac:dyDescent="0.3">
      <c r="A85" s="10" t="s">
        <v>74</v>
      </c>
      <c r="B85" s="10" t="s">
        <v>75</v>
      </c>
      <c r="C85" s="3" t="s">
        <v>29</v>
      </c>
    </row>
    <row r="86" spans="1:3" ht="20.149999999999999" customHeight="1" x14ac:dyDescent="0.3">
      <c r="A86" s="13" t="s">
        <v>280</v>
      </c>
      <c r="B86" s="13" t="s">
        <v>281</v>
      </c>
      <c r="C86" s="8" t="s">
        <v>282</v>
      </c>
    </row>
    <row r="87" spans="1:3" ht="20.149999999999999" customHeight="1" x14ac:dyDescent="0.3">
      <c r="A87" s="10" t="s">
        <v>81</v>
      </c>
      <c r="B87" s="10" t="s">
        <v>82</v>
      </c>
      <c r="C87" s="3" t="s">
        <v>83</v>
      </c>
    </row>
    <row r="88" spans="1:3" ht="20.149999999999999" customHeight="1" x14ac:dyDescent="0.3">
      <c r="A88" s="13" t="s">
        <v>325</v>
      </c>
      <c r="B88" s="13" t="s">
        <v>326</v>
      </c>
      <c r="C88" s="8" t="s">
        <v>327</v>
      </c>
    </row>
    <row r="89" spans="1:3" ht="20.149999999999999" customHeight="1" x14ac:dyDescent="0.3">
      <c r="A89" s="18" t="s">
        <v>381</v>
      </c>
      <c r="B89" s="18" t="s">
        <v>382</v>
      </c>
      <c r="C89" s="8" t="s">
        <v>383</v>
      </c>
    </row>
    <row r="90" spans="1:3" ht="20.149999999999999" customHeight="1" x14ac:dyDescent="0.3">
      <c r="A90" s="13" t="s">
        <v>302</v>
      </c>
      <c r="B90" s="13" t="s">
        <v>303</v>
      </c>
      <c r="C90" s="8" t="s">
        <v>304</v>
      </c>
    </row>
    <row r="91" spans="1:3" ht="20.149999999999999" customHeight="1" x14ac:dyDescent="0.3">
      <c r="A91" s="10" t="s">
        <v>162</v>
      </c>
      <c r="B91" s="10" t="s">
        <v>163</v>
      </c>
      <c r="C91" s="3" t="s">
        <v>164</v>
      </c>
    </row>
    <row r="92" spans="1:3" ht="20.149999999999999" customHeight="1" x14ac:dyDescent="0.3">
      <c r="A92" s="10" t="s">
        <v>203</v>
      </c>
      <c r="B92" s="10" t="s">
        <v>205</v>
      </c>
      <c r="C92" s="3" t="s">
        <v>204</v>
      </c>
    </row>
    <row r="93" spans="1:3" ht="20.149999999999999" customHeight="1" x14ac:dyDescent="0.3">
      <c r="A93" s="10" t="s">
        <v>87</v>
      </c>
      <c r="B93" s="10" t="s">
        <v>88</v>
      </c>
      <c r="C93" s="3" t="s">
        <v>89</v>
      </c>
    </row>
    <row r="94" spans="1:3" ht="20.149999999999999" customHeight="1" x14ac:dyDescent="0.3">
      <c r="A94" s="10" t="s">
        <v>191</v>
      </c>
      <c r="B94" s="10" t="s">
        <v>192</v>
      </c>
      <c r="C94" s="3" t="s">
        <v>50</v>
      </c>
    </row>
    <row r="95" spans="1:3" ht="20.149999999999999" customHeight="1" x14ac:dyDescent="0.3">
      <c r="A95" s="13" t="s">
        <v>335</v>
      </c>
      <c r="B95" s="13" t="s">
        <v>328</v>
      </c>
      <c r="C95" s="8" t="s">
        <v>329</v>
      </c>
    </row>
    <row r="96" spans="1:3" ht="20.149999999999999" customHeight="1" x14ac:dyDescent="0.3">
      <c r="A96" s="10" t="s">
        <v>184</v>
      </c>
      <c r="B96" s="10" t="s">
        <v>185</v>
      </c>
      <c r="C96" s="3" t="s">
        <v>49</v>
      </c>
    </row>
    <row r="97" spans="1:3" ht="20.149999999999999" customHeight="1" x14ac:dyDescent="0.3">
      <c r="A97" s="18" t="s">
        <v>360</v>
      </c>
      <c r="B97" s="18" t="s">
        <v>361</v>
      </c>
      <c r="C97" s="8" t="s">
        <v>362</v>
      </c>
    </row>
    <row r="98" spans="1:3" ht="20.149999999999999" customHeight="1" x14ac:dyDescent="0.3">
      <c r="A98" s="10" t="s">
        <v>193</v>
      </c>
      <c r="B98" s="10" t="s">
        <v>194</v>
      </c>
      <c r="C98" s="3" t="s">
        <v>52</v>
      </c>
    </row>
    <row r="99" spans="1:3" ht="20.149999999999999" customHeight="1" x14ac:dyDescent="0.3">
      <c r="A99" s="10" t="s">
        <v>215</v>
      </c>
      <c r="B99" s="10" t="s">
        <v>216</v>
      </c>
      <c r="C99" s="3" t="s">
        <v>217</v>
      </c>
    </row>
    <row r="100" spans="1:3" ht="20.149999999999999" customHeight="1" x14ac:dyDescent="0.3">
      <c r="A100" s="13" t="s">
        <v>310</v>
      </c>
      <c r="B100" s="13" t="s">
        <v>311</v>
      </c>
      <c r="C100" s="8" t="s">
        <v>312</v>
      </c>
    </row>
    <row r="101" spans="1:3" ht="20.149999999999999" customHeight="1" x14ac:dyDescent="0.3">
      <c r="A101" s="10" t="s">
        <v>178</v>
      </c>
      <c r="B101" s="10" t="s">
        <v>179</v>
      </c>
      <c r="C101" s="3" t="s">
        <v>180</v>
      </c>
    </row>
    <row r="102" spans="1:3" ht="20.149999999999999" customHeight="1" x14ac:dyDescent="0.3">
      <c r="A102" s="13" t="s">
        <v>290</v>
      </c>
      <c r="B102" s="13" t="s">
        <v>291</v>
      </c>
      <c r="C102" s="8" t="s">
        <v>292</v>
      </c>
    </row>
    <row r="103" spans="1:3" ht="20.149999999999999" customHeight="1" x14ac:dyDescent="0.3">
      <c r="A103" s="10" t="s">
        <v>110</v>
      </c>
      <c r="B103" s="10" t="s">
        <v>111</v>
      </c>
      <c r="C103" s="3" t="s">
        <v>34</v>
      </c>
    </row>
    <row r="104" spans="1:3" ht="20.149999999999999" customHeight="1" x14ac:dyDescent="0.3">
      <c r="A104" s="18" t="s">
        <v>358</v>
      </c>
      <c r="B104" s="18" t="s">
        <v>356</v>
      </c>
      <c r="C104" s="8" t="s">
        <v>357</v>
      </c>
    </row>
    <row r="105" spans="1:3" ht="20.149999999999999" customHeight="1" x14ac:dyDescent="0.3">
      <c r="A105" s="13" t="s">
        <v>299</v>
      </c>
      <c r="B105" s="13" t="s">
        <v>300</v>
      </c>
      <c r="C105" s="8" t="s">
        <v>301</v>
      </c>
    </row>
    <row r="106" spans="1:3" ht="20.149999999999999" customHeight="1" x14ac:dyDescent="0.3">
      <c r="A106" s="13" t="s">
        <v>343</v>
      </c>
      <c r="B106" s="13" t="s">
        <v>345</v>
      </c>
      <c r="C106" s="8" t="s">
        <v>344</v>
      </c>
    </row>
    <row r="107" spans="1:3" ht="20.149999999999999" customHeight="1" x14ac:dyDescent="0.3">
      <c r="A107" s="10" t="s">
        <v>236</v>
      </c>
      <c r="B107" s="10" t="s">
        <v>237</v>
      </c>
      <c r="C107" s="3" t="s">
        <v>238</v>
      </c>
    </row>
    <row r="108" spans="1:3" ht="20.149999999999999" customHeight="1" x14ac:dyDescent="0.3">
      <c r="A108" s="10" t="s">
        <v>212</v>
      </c>
      <c r="B108" s="10" t="s">
        <v>213</v>
      </c>
      <c r="C108" s="3" t="s">
        <v>214</v>
      </c>
    </row>
    <row r="109" spans="1:3" ht="20.149999999999999" customHeight="1" x14ac:dyDescent="0.3">
      <c r="A109" s="10" t="s">
        <v>137</v>
      </c>
      <c r="B109" s="10" t="s">
        <v>138</v>
      </c>
      <c r="C109" s="3" t="s">
        <v>39</v>
      </c>
    </row>
    <row r="110" spans="1:3" ht="20.149999999999999" customHeight="1" x14ac:dyDescent="0.3">
      <c r="A110" s="10" t="s">
        <v>99</v>
      </c>
      <c r="B110" s="10" t="s">
        <v>100</v>
      </c>
      <c r="C110" s="3" t="s">
        <v>33</v>
      </c>
    </row>
    <row r="111" spans="1:3" ht="20.149999999999999" customHeight="1" x14ac:dyDescent="0.3">
      <c r="A111" s="18" t="s">
        <v>384</v>
      </c>
      <c r="B111" s="18" t="s">
        <v>386</v>
      </c>
      <c r="C111" s="8" t="s">
        <v>385</v>
      </c>
    </row>
    <row r="112" spans="1:3" ht="20.149999999999999" customHeight="1" x14ac:dyDescent="0.3">
      <c r="A112" s="10" t="s">
        <v>218</v>
      </c>
      <c r="B112" s="10" t="s">
        <v>219</v>
      </c>
      <c r="C112" s="3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4"/>
  <sheetViews>
    <sheetView workbookViewId="0">
      <selection activeCell="D6" sqref="D6"/>
    </sheetView>
  </sheetViews>
  <sheetFormatPr defaultRowHeight="20.149999999999999" customHeight="1" x14ac:dyDescent="0.3"/>
  <cols>
    <col min="1" max="1" width="37.5" style="2" customWidth="1"/>
    <col min="2" max="2" width="16.33203125" style="15" customWidth="1"/>
  </cols>
  <sheetData>
    <row r="1" spans="1:2" ht="20.149999999999999" customHeight="1" x14ac:dyDescent="0.3">
      <c r="A1" s="1" t="s">
        <v>56</v>
      </c>
      <c r="B1" s="16" t="s">
        <v>63</v>
      </c>
    </row>
    <row r="2" spans="1:2" ht="20.149999999999999" customHeight="1" x14ac:dyDescent="0.3">
      <c r="A2" s="2" t="s">
        <v>332</v>
      </c>
      <c r="B2" s="14">
        <v>8425</v>
      </c>
    </row>
    <row r="3" spans="1:2" ht="20.149999999999999" customHeight="1" x14ac:dyDescent="0.3">
      <c r="A3" s="7" t="s">
        <v>266</v>
      </c>
      <c r="B3" s="14">
        <v>996519</v>
      </c>
    </row>
    <row r="4" spans="1:2" ht="20.149999999999999" customHeight="1" x14ac:dyDescent="0.3">
      <c r="A4" s="7" t="s">
        <v>68</v>
      </c>
      <c r="B4" s="14">
        <v>72107000</v>
      </c>
    </row>
    <row r="5" spans="1:2" ht="20.149999999999999" customHeight="1" x14ac:dyDescent="0.3">
      <c r="A5" s="2" t="s">
        <v>334</v>
      </c>
      <c r="B5" s="14">
        <v>84313100</v>
      </c>
    </row>
    <row r="6" spans="1:2" ht="20.149999999999999" customHeight="1" x14ac:dyDescent="0.3">
      <c r="A6" s="2" t="s">
        <v>333</v>
      </c>
      <c r="B6" s="14">
        <v>84313100</v>
      </c>
    </row>
    <row r="7" spans="1:2" ht="20.149999999999999" customHeight="1" x14ac:dyDescent="0.3">
      <c r="A7" s="2" t="s">
        <v>305</v>
      </c>
      <c r="B7" s="14"/>
    </row>
    <row r="8" spans="1:2" ht="20.149999999999999" customHeight="1" x14ac:dyDescent="0.3">
      <c r="A8" s="7" t="s">
        <v>267</v>
      </c>
      <c r="B8" s="14">
        <v>996799</v>
      </c>
    </row>
    <row r="9" spans="1:2" ht="20.149999999999999" customHeight="1" x14ac:dyDescent="0.3">
      <c r="A9" s="7" t="s">
        <v>59</v>
      </c>
      <c r="B9" s="14">
        <v>721621</v>
      </c>
    </row>
    <row r="10" spans="1:2" ht="20.149999999999999" customHeight="1" x14ac:dyDescent="0.3">
      <c r="A10" s="7" t="s">
        <v>60</v>
      </c>
      <c r="B10" s="14">
        <v>7215</v>
      </c>
    </row>
    <row r="11" spans="1:2" ht="20.149999999999999" customHeight="1" x14ac:dyDescent="0.3">
      <c r="A11" s="2" t="s">
        <v>283</v>
      </c>
      <c r="B11" s="14">
        <v>72163200</v>
      </c>
    </row>
    <row r="12" spans="1:2" ht="20.149999999999999" customHeight="1" x14ac:dyDescent="0.3">
      <c r="A12" s="7" t="s">
        <v>58</v>
      </c>
      <c r="B12" s="14">
        <v>72163100</v>
      </c>
    </row>
    <row r="13" spans="1:2" ht="20.149999999999999" customHeight="1" x14ac:dyDescent="0.3">
      <c r="A13" s="7" t="s">
        <v>61</v>
      </c>
      <c r="B13" s="14">
        <v>721491</v>
      </c>
    </row>
    <row r="14" spans="1:2" ht="20.149999999999999" customHeight="1" x14ac:dyDescent="0.3">
      <c r="A14" s="7" t="s">
        <v>57</v>
      </c>
      <c r="B14" s="14">
        <v>73069090</v>
      </c>
    </row>
    <row r="15" spans="1:2" ht="20.149999999999999" customHeight="1" x14ac:dyDescent="0.3">
      <c r="A15" s="7" t="s">
        <v>62</v>
      </c>
      <c r="B15" s="14">
        <v>7208</v>
      </c>
    </row>
    <row r="16" spans="1:2" ht="20.149999999999999" customHeight="1" x14ac:dyDescent="0.3">
      <c r="A16" s="20" t="s">
        <v>355</v>
      </c>
      <c r="B16" s="20">
        <v>73083000</v>
      </c>
    </row>
    <row r="17" spans="1:2" ht="20.149999999999999" customHeight="1" x14ac:dyDescent="0.3">
      <c r="A17" s="2" t="s">
        <v>308</v>
      </c>
      <c r="B17" s="14">
        <v>73083000</v>
      </c>
    </row>
    <row r="18" spans="1:2" ht="20.149999999999999" customHeight="1" x14ac:dyDescent="0.3">
      <c r="A18" s="2" t="s">
        <v>293</v>
      </c>
      <c r="B18" s="14">
        <v>73083000</v>
      </c>
    </row>
    <row r="19" spans="1:2" ht="20.149999999999999" customHeight="1" x14ac:dyDescent="0.3">
      <c r="A19" s="2" t="s">
        <v>295</v>
      </c>
      <c r="B19" s="14">
        <v>73083000</v>
      </c>
    </row>
    <row r="20" spans="1:2" ht="20.149999999999999" customHeight="1" x14ac:dyDescent="0.3">
      <c r="A20" s="7" t="s">
        <v>64</v>
      </c>
      <c r="B20" s="14">
        <v>73083000</v>
      </c>
    </row>
    <row r="21" spans="1:2" ht="20.149999999999999" customHeight="1" x14ac:dyDescent="0.3">
      <c r="A21" s="7" t="s">
        <v>65</v>
      </c>
      <c r="B21" s="14">
        <v>73083000</v>
      </c>
    </row>
    <row r="22" spans="1:2" ht="20.149999999999999" customHeight="1" x14ac:dyDescent="0.3">
      <c r="A22" s="7" t="s">
        <v>66</v>
      </c>
      <c r="B22" s="14">
        <v>73083000</v>
      </c>
    </row>
    <row r="23" spans="1:2" ht="20.149999999999999" customHeight="1" x14ac:dyDescent="0.3">
      <c r="A23" s="7" t="s">
        <v>67</v>
      </c>
      <c r="B23" s="14">
        <v>73201019</v>
      </c>
    </row>
    <row r="24" spans="1:2" ht="20.149999999999999" customHeight="1" x14ac:dyDescent="0.3">
      <c r="A24" s="2" t="s">
        <v>271</v>
      </c>
      <c r="B24" s="14">
        <v>7314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D82475-B62D-4F88-9D8A-4C8FD3CC92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Sheet3</vt:lpstr>
      <vt:lpstr>HSN_Code</vt:lpstr>
      <vt:lpstr>Party_Add</vt:lpstr>
      <vt:lpstr>Party_GSTNO</vt:lpstr>
      <vt:lpstr>Party_Name</vt:lpstr>
      <vt:lpstr>Sheet1!Print_Area</vt:lpstr>
      <vt:lpstr>Product_List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</dc:creator>
  <cp:lastModifiedBy>Dhruv</cp:lastModifiedBy>
  <cp:lastPrinted>2023-12-15T08:36:18Z</cp:lastPrinted>
  <dcterms:created xsi:type="dcterms:W3CDTF">2021-10-19T05:37:29Z</dcterms:created>
  <dcterms:modified xsi:type="dcterms:W3CDTF">2023-12-15T09:11:54Z</dcterms:modified>
</cp:coreProperties>
</file>