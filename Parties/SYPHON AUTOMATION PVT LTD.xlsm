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<sst xmlns="http://schemas.openxmlformats.org/spreadsheetml/2006/main" count="43" uniqueCount="43">
  <si>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</si>
  <si>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</si>
  <si>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</si>
  <si>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</si>
  <si>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</si>
  <si>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</si>
  <si>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</si>
  <si>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</si>
  <si>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</si>
  <si>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</si>
  <si>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</si>
  <si>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</si>
  <si>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</si>
  <si>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</si>
  <si>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</si>
  <si>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</si>
  <si>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</si>
  <si>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</si>
  <si>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</si>
  <si>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</si>
  <si>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</si>
  <si>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</si>
  <si>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</si>
  <si>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</si>
  <si>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</si>
  <si>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</si>
  <si>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</si>
  <si>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</si>
  <si>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</si>
  <si>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</si>
  <si>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</si>
  <si>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</si>
  <si>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</si>
  <si>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</si>
  <si>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</si>
  <si>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</si>
  <si>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MS PIPE</t>
  </si>
  <si>
    <t>HSN</t>
  </si>
  <si>
    <t>SYPHON AUTOMATION PVT LTD</t>
  </si>
  <si>
    <t xml:space="preserve">H-1006. TITANIUM CITY CENTER </t>
  </si>
  <si>
    <t>PARTY G S T ; 24ABBCS1243C1Z0</t>
  </si>
  <si>
    <t>18/2/2022</t>
  </si>
  <si>
    <t>MS FLAT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</si>
</sst>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D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71" t="s">
        <v>10</v>
      </c>
      <c r="B1" s="72"/>
      <c r="C1" s="72"/>
      <c r="D1" s="72"/>
      <c r="E1" s="72"/>
      <c r="F1" s="72"/>
      <c r="G1" s="72"/>
      <c r="H1" s="72"/>
      <c r="I1" s="46" t="s">
        <v>30</v>
      </c>
    </row>
    <row r="2" spans="1:22">
      <c r="A2" s="73" t="s">
        <v>11</v>
      </c>
      <c r="B2" s="54"/>
      <c r="C2" s="54"/>
      <c r="D2" s="54"/>
      <c r="E2" s="54"/>
      <c r="F2" s="54"/>
      <c r="G2" s="54"/>
      <c r="H2" s="54"/>
      <c r="I2" s="47" t="s">
        <v>31</v>
      </c>
    </row>
    <row r="3" spans="1:22">
      <c r="A3" s="73" t="s">
        <v>12</v>
      </c>
      <c r="B3" s="54"/>
      <c r="C3" s="54"/>
      <c r="D3" s="54"/>
      <c r="E3" s="54"/>
      <c r="F3" s="54"/>
      <c r="G3" s="54"/>
      <c r="H3" s="54"/>
      <c r="I3" s="47" t="s">
        <v>32</v>
      </c>
    </row>
    <row r="4" spans="1:22">
      <c r="A4" s="55" t="s">
        <v>33</v>
      </c>
      <c r="B4" s="56"/>
      <c r="C4" s="56"/>
      <c r="D4" s="57"/>
      <c r="E4" s="57"/>
      <c r="F4" s="57"/>
      <c r="G4" s="57"/>
      <c r="H4" s="57"/>
      <c r="I4" s="58"/>
    </row>
    <row r="5" spans="1:22">
      <c r="A5" s="65" t="s">
        <v>13</v>
      </c>
      <c r="B5" s="66"/>
      <c r="C5" s="66"/>
      <c r="D5" s="66"/>
      <c r="E5" s="66"/>
      <c r="F5" s="66"/>
      <c r="G5" s="66"/>
      <c r="H5" s="66"/>
      <c r="I5" s="67"/>
    </row>
    <row r="6" spans="1:22">
      <c r="A6" s="34" t="s">
        <v>14</v>
      </c>
      <c r="B6" s="70" t="s">
        <v>38</v>
      </c>
      <c r="C6" s="70"/>
      <c r="D6" s="70"/>
      <c r="E6" s="13"/>
      <c r="F6" s="13"/>
      <c r="G6" s="14"/>
      <c r="H6" s="28" t="s">
        <v>15</v>
      </c>
      <c r="I6" s="33">
        <v>151</v>
      </c>
      <c r="V6" t="s">
        <v>34</v>
      </c>
    </row>
    <row r="7" spans="1:22">
      <c r="A7" s="35" t="s">
        <v>18</v>
      </c>
      <c r="B7" s="68" t="s">
        <v>39</v>
      </c>
      <c r="C7" s="68"/>
      <c r="D7" s="68"/>
      <c r="E7" s="36"/>
      <c r="F7" s="36"/>
      <c r="G7" s="15"/>
      <c r="H7" s="29" t="s">
        <v>16</v>
      </c>
      <c r="I7" s="37">
        <v>151</v>
      </c>
      <c r="J7" s="16"/>
    </row>
    <row r="8" spans="1:22">
      <c r="A8" s="38"/>
      <c r="B8" s="69" t="s">
        <v>35</v>
      </c>
      <c r="C8" s="69"/>
      <c r="D8" s="69"/>
      <c r="E8" s="36"/>
      <c r="F8" s="36"/>
      <c r="G8" s="15"/>
      <c r="H8" s="27" t="s">
        <v>17</v>
      </c>
      <c r="I8" s="45" t="s">
        <v>41</v>
      </c>
      <c r="J8" s="16"/>
      <c r="K8" s="4"/>
      <c r="M8" s="4"/>
    </row>
    <row r="9" spans="1:22" ht="15" customHeight="1">
      <c r="A9" s="63" t="s">
        <v>40</v>
      </c>
      <c r="B9" s="64"/>
      <c r="C9" s="64"/>
      <c r="D9" s="64"/>
      <c r="E9" s="31"/>
      <c r="F9" s="31"/>
      <c r="G9" s="31"/>
      <c r="H9" s="61"/>
      <c r="I9" s="62"/>
      <c r="J9" s="16"/>
    </row>
    <row r="10" spans="1:22" ht="28.5" customHeight="1">
      <c r="A10" s="39" t="s">
        <v>2</v>
      </c>
      <c r="B10" s="7" t="s">
        <v>0</v>
      </c>
      <c r="C10" s="5" t="s">
        <v>37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4"/>
      <c r="P10" s="54"/>
      <c r="Q10" s="54"/>
      <c r="R10" s="54"/>
      <c r="S10" s="54"/>
      <c r="T10" s="54"/>
      <c r="U10" s="4"/>
    </row>
    <row r="11" spans="1:22" ht="15" customHeight="1">
      <c r="A11" s="9">
        <v>1</v>
      </c>
      <c r="B11" s="16" t="s">
        <v>36</v>
      </c>
      <c r="C11" s="51">
        <v>73069011</v>
      </c>
      <c r="D11" s="22">
        <v>122.9</v>
      </c>
      <c r="E11" s="16"/>
      <c r="F11" s="16"/>
      <c r="G11" s="9"/>
      <c r="H11" s="19">
        <v>63.5</v>
      </c>
      <c r="I11" s="41">
        <f>SUM(D11*H11)</f>
        <v>7804.1500000000005</v>
      </c>
      <c r="J11" s="4"/>
      <c r="K11" t="s">
        <v>7</v>
      </c>
      <c r="L11" s="59"/>
      <c r="M11" s="60"/>
    </row>
    <row r="12" spans="1:22" ht="15" customHeight="1">
      <c r="A12" s="10">
        <v>2</v>
      </c>
      <c r="B12" s="42" t="s">
        <v>42</v>
      </c>
      <c r="C12" s="52">
        <v>721419</v>
      </c>
      <c r="D12" s="23">
        <v>27.6</v>
      </c>
      <c r="E12" s="16"/>
      <c r="F12" s="16"/>
      <c r="G12" s="10"/>
      <c r="H12" s="20">
        <v>58.5</v>
      </c>
      <c r="I12" s="20">
        <v>1614.6</v>
      </c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89" t="s">
        <v>22</v>
      </c>
      <c r="B36" s="90"/>
      <c r="C36" s="90"/>
      <c r="D36" s="90"/>
      <c r="E36" s="16"/>
      <c r="F36" s="16"/>
      <c r="G36" s="16"/>
      <c r="H36" s="25" t="s">
        <v>6</v>
      </c>
      <c r="I36" s="44">
        <f>SUM(I11:I35)</f>
        <v>9418.75</v>
      </c>
      <c r="J36" s="11"/>
    </row>
    <row r="37" spans="1:10">
      <c r="A37" s="55" t="s">
        <v>23</v>
      </c>
      <c r="B37" s="56"/>
      <c r="C37" s="56"/>
      <c r="D37" s="56"/>
      <c r="E37" s="16"/>
      <c r="F37" s="16"/>
      <c r="G37" s="16"/>
      <c r="H37" s="25" t="s">
        <v>8</v>
      </c>
      <c r="I37" s="44">
        <f>SUM(I36*9%)</f>
        <v>847.6875</v>
      </c>
      <c r="J37" s="11"/>
    </row>
    <row r="38" spans="1:10">
      <c r="A38" s="55" t="s">
        <v>24</v>
      </c>
      <c r="B38" s="56"/>
      <c r="C38" s="56"/>
      <c r="D38" s="56"/>
      <c r="E38" s="16"/>
      <c r="F38" s="16"/>
      <c r="G38" s="16"/>
      <c r="H38" s="30" t="s">
        <v>9</v>
      </c>
      <c r="I38" s="44">
        <f>SUM(I36*9%)</f>
        <v>847.6875</v>
      </c>
      <c r="J38" s="11"/>
    </row>
    <row r="39" spans="1:10">
      <c r="A39" s="55" t="s">
        <v>25</v>
      </c>
      <c r="B39" s="56"/>
      <c r="C39" s="56"/>
      <c r="D39" s="56"/>
      <c r="E39" s="16"/>
      <c r="F39" s="16"/>
      <c r="G39" s="16"/>
      <c r="H39" s="25" t="s">
        <v>5</v>
      </c>
      <c r="I39" s="44">
        <v>0.87</v>
      </c>
      <c r="J39" s="11"/>
    </row>
    <row r="40" spans="1:10">
      <c r="A40" s="91"/>
      <c r="B40" s="92"/>
      <c r="C40" s="92"/>
      <c r="D40" s="92"/>
      <c r="E40" s="31"/>
      <c r="F40" s="31"/>
      <c r="G40" s="31"/>
      <c r="H40" s="26" t="s">
        <v>4</v>
      </c>
      <c r="I40" s="26">
        <f>SUM(I36:I39)</f>
        <v>11114.995000000001</v>
      </c>
      <c r="J40" s="11"/>
    </row>
    <row r="41" spans="1:10" ht="18" customHeight="1">
      <c r="A41" s="93" t="str">
        <f>spellnumber(I40)</f>
        <v xml:space="preserve">Rupees Eleven Thousand One Hundred Fifteen Only </v>
      </c>
      <c r="B41" s="94"/>
      <c r="C41" s="50"/>
      <c r="D41" s="86" t="s">
        <v>20</v>
      </c>
      <c r="E41" s="87"/>
      <c r="F41" s="87"/>
      <c r="G41" s="87"/>
      <c r="H41" s="87"/>
      <c r="I41" s="88"/>
      <c r="J41" s="11"/>
    </row>
    <row r="42" spans="1:10" ht="15" customHeight="1">
      <c r="A42" s="84" t="s">
        <v>26</v>
      </c>
      <c r="B42" s="85"/>
      <c r="C42" s="48"/>
      <c r="D42" s="75"/>
      <c r="E42" s="76"/>
      <c r="F42" s="76"/>
      <c r="G42" s="76"/>
      <c r="H42" s="76"/>
      <c r="I42" s="77"/>
    </row>
    <row r="43" spans="1:10">
      <c r="A43" s="35">
        <v>1</v>
      </c>
      <c r="B43" s="17" t="s">
        <v>27</v>
      </c>
      <c r="C43" s="16"/>
      <c r="D43" s="81"/>
      <c r="E43" s="82"/>
      <c r="F43" s="82"/>
      <c r="G43" s="82"/>
      <c r="H43" s="82"/>
      <c r="I43" s="83"/>
    </row>
    <row r="44" spans="1:10">
      <c r="A44" s="21">
        <v>2</v>
      </c>
      <c r="B44" s="18" t="s">
        <v>28</v>
      </c>
      <c r="C44" s="16"/>
      <c r="D44" s="81"/>
      <c r="E44" s="82"/>
      <c r="F44" s="82"/>
      <c r="G44" s="82"/>
      <c r="H44" s="82"/>
      <c r="I44" s="83"/>
    </row>
    <row r="45" spans="1:10">
      <c r="A45" s="38">
        <v>3</v>
      </c>
      <c r="B45" s="32" t="s">
        <v>29</v>
      </c>
      <c r="C45" s="49"/>
      <c r="D45" s="78" t="s">
        <v>21</v>
      </c>
      <c r="E45" s="79"/>
      <c r="F45" s="79"/>
      <c r="G45" s="79"/>
      <c r="H45" s="79"/>
      <c r="I45" s="80"/>
    </row>
    <row r="46" spans="1:10">
      <c r="D46" s="74"/>
      <c r="E46" s="74"/>
      <c r="F46" s="74"/>
      <c r="G46" s="74"/>
      <c r="H46" s="74"/>
      <c r="I46" s="74"/>
    </row>
  </sheetData>
  <mergeCells count="25"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  <mergeCell ref="O10:T10"/>
    <mergeCell ref="A4:I4"/>
    <mergeCell ref="L11:M11"/>
    <mergeCell ref="H9:I9"/>
    <mergeCell ref="A9:D9"/>
    <mergeCell ref="A5:I5"/>
    <mergeCell ref="B7:D7"/>
    <mergeCell ref="B8:D8"/>
    <mergeCell ref="B6:D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2022-02-18T08:53:01Z</cp:lastPrinted>
  <dcterms:created xsi:type="dcterms:W3CDTF">2014-08-28T11:45:31Z</dcterms:created>
  <dcterms:modified xsi:type="dcterms:W3CDTF">2022-02-18T08:57:06Z</dcterms:modified>
</cp:coreProperties>
</file>