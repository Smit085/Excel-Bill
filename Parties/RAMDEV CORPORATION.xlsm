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1" i="1"/>
  <c r="H36" s="1"/>
  <c r="H38" l="1"/>
  <c r="H37"/>
  <c r="H40" l="1"/>
  <c r="A41"/>
</calcChain>
</file>

<file path=xl/sharedStrings.xml><?xml version="1.0" encoding="utf-8"?>
<sst xmlns="http://schemas.openxmlformats.org/spreadsheetml/2006/main" count="40" uniqueCount="40">
  <si>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</si>
  <si>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</si>
  <si>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</si>
  <si>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</si>
  <si>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</si>
  <si>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</si>
  <si>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</si>
  <si>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</si>
  <si>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</si>
  <si>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</si>
  <si>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</si>
  <si>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</si>
  <si>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</si>
  <si>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</si>
  <si>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</si>
  <si>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</si>
  <si>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</si>
  <si>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</si>
  <si>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</si>
  <si>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</si>
  <si>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</si>
  <si>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</si>
  <si>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</si>
  <si>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</si>
  <si>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</si>
  <si>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</si>
  <si>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</si>
  <si>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</si>
  <si>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</si>
  <si>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</si>
  <si>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</si>
  <si>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</si>
  <si>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</si>
  <si>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</si>
  <si>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AHMEDABAD</t>
  </si>
  <si>
    <t>RAMDEV CORPORATION</t>
  </si>
  <si>
    <t>DEVASYA GOLD NIKOL</t>
  </si>
  <si>
    <t>PARTY GST :  24AAYFR3583R1Z0</t>
  </si>
  <si>
    <t>22/11/2021</t>
  </si>
  <si>
    <t>MS PIPE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</si>
</sst>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/>
    </xf>
    <xf numFmtId="0" fontId="4" fillId="0" borderId="12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B46" sqref="A1:H46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65" t="s">
        <v>10</v>
      </c>
      <c r="B1" s="66"/>
      <c r="C1" s="66"/>
      <c r="D1" s="66"/>
      <c r="E1" s="66"/>
      <c r="F1" s="66"/>
      <c r="G1" s="66"/>
      <c r="H1" s="46" t="s">
        <v>30</v>
      </c>
    </row>
    <row r="2" spans="1:20">
      <c r="A2" s="67" t="s">
        <v>11</v>
      </c>
      <c r="B2" s="48"/>
      <c r="C2" s="48"/>
      <c r="D2" s="48"/>
      <c r="E2" s="48"/>
      <c r="F2" s="48"/>
      <c r="G2" s="48"/>
      <c r="H2" s="47" t="s">
        <v>31</v>
      </c>
    </row>
    <row r="3" spans="1:20">
      <c r="A3" s="67" t="s">
        <v>12</v>
      </c>
      <c r="B3" s="48"/>
      <c r="C3" s="48"/>
      <c r="D3" s="48"/>
      <c r="E3" s="48"/>
      <c r="F3" s="48"/>
      <c r="G3" s="48"/>
      <c r="H3" s="47" t="s">
        <v>32</v>
      </c>
    </row>
    <row r="4" spans="1:20">
      <c r="A4" s="49" t="s">
        <v>33</v>
      </c>
      <c r="B4" s="50"/>
      <c r="C4" s="51"/>
      <c r="D4" s="51"/>
      <c r="E4" s="51"/>
      <c r="F4" s="51"/>
      <c r="G4" s="51"/>
      <c r="H4" s="52"/>
    </row>
    <row r="5" spans="1:20">
      <c r="A5" s="59" t="s">
        <v>13</v>
      </c>
      <c r="B5" s="60"/>
      <c r="C5" s="60"/>
      <c r="D5" s="60"/>
      <c r="E5" s="60"/>
      <c r="F5" s="60"/>
      <c r="G5" s="60"/>
      <c r="H5" s="61"/>
    </row>
    <row r="6" spans="1:20">
      <c r="A6" s="34" t="s">
        <v>14</v>
      </c>
      <c r="B6" s="64" t="s">
        <v>35</v>
      </c>
      <c r="C6" s="64"/>
      <c r="D6" s="13"/>
      <c r="E6" s="13"/>
      <c r="F6" s="14"/>
      <c r="G6" s="28" t="s">
        <v>15</v>
      </c>
      <c r="H6" s="33">
        <v>86</v>
      </c>
    </row>
    <row r="7" spans="1:20">
      <c r="A7" s="35" t="s">
        <v>18</v>
      </c>
      <c r="B7" s="62" t="s">
        <v>36</v>
      </c>
      <c r="C7" s="62"/>
      <c r="D7" s="36"/>
      <c r="E7" s="36"/>
      <c r="F7" s="15"/>
      <c r="G7" s="29" t="s">
        <v>16</v>
      </c>
      <c r="H7" s="37">
        <v>86</v>
      </c>
      <c r="I7" s="16"/>
    </row>
    <row r="8" spans="1:20">
      <c r="A8" s="38"/>
      <c r="B8" s="63" t="s">
        <v>34</v>
      </c>
      <c r="C8" s="63"/>
      <c r="D8" s="36"/>
      <c r="E8" s="36"/>
      <c r="F8" s="15"/>
      <c r="G8" s="27" t="s">
        <v>17</v>
      </c>
      <c r="H8" s="45" t="s">
        <v>38</v>
      </c>
      <c r="I8" s="16"/>
      <c r="J8" s="4"/>
      <c r="L8" s="4"/>
    </row>
    <row r="9" spans="1:20" ht="15" customHeight="1">
      <c r="A9" s="57" t="s">
        <v>37</v>
      </c>
      <c r="B9" s="58"/>
      <c r="C9" s="58"/>
      <c r="D9" s="31"/>
      <c r="E9" s="31"/>
      <c r="F9" s="31"/>
      <c r="G9" s="55"/>
      <c r="H9" s="56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48"/>
      <c r="O10" s="48"/>
      <c r="P10" s="48"/>
      <c r="Q10" s="48"/>
      <c r="R10" s="48"/>
      <c r="S10" s="48"/>
      <c r="T10" s="4"/>
    </row>
    <row r="11" spans="1:20" ht="15" customHeight="1">
      <c r="A11" s="9">
        <v>1</v>
      </c>
      <c r="B11" s="16" t="s">
        <v>39</v>
      </c>
      <c r="C11" s="22">
        <v>179</v>
      </c>
      <c r="D11" s="16"/>
      <c r="E11" s="16"/>
      <c r="F11" s="9"/>
      <c r="G11" s="19">
        <v>65</v>
      </c>
      <c r="H11" s="41">
        <f>C11*G11</f>
        <v>11635</v>
      </c>
      <c r="I11" s="4"/>
      <c r="J11" t="s">
        <v>7</v>
      </c>
      <c r="K11" s="53"/>
      <c r="L11" s="54"/>
    </row>
    <row r="12" spans="1:20" ht="15" customHeight="1">
      <c r="A12" s="10"/>
      <c r="B12" s="42"/>
      <c r="C12" s="23"/>
      <c r="D12" s="16"/>
      <c r="E12" s="16"/>
      <c r="F12" s="10"/>
      <c r="G12" s="20"/>
      <c r="H12" s="20"/>
      <c r="I12"/>
      <c r="K12" s="4"/>
    </row>
    <row r="13" spans="1:20" ht="15" customHeight="1">
      <c r="A13" s="10"/>
      <c r="B13" s="16"/>
      <c r="C13" s="23"/>
      <c r="D13" s="16"/>
      <c r="E13" s="16"/>
      <c r="F13" s="10"/>
      <c r="G13" s="20"/>
      <c r="H13" s="41"/>
      <c r="I13" s="4"/>
    </row>
    <row r="14" spans="1:20">
      <c r="A14" s="10"/>
      <c r="B14" s="8"/>
      <c r="C14" s="23"/>
      <c r="D14" s="16"/>
      <c r="E14" s="16"/>
      <c r="F14" s="16"/>
      <c r="G14" s="20"/>
      <c r="H14" s="41"/>
    </row>
    <row r="15" spans="1:20">
      <c r="A15" s="10"/>
      <c r="B15" s="8"/>
      <c r="C15" s="43"/>
      <c r="D15" s="16"/>
      <c r="E15" s="16"/>
      <c r="F15" s="16"/>
      <c r="G15" s="20"/>
      <c r="H15" s="41"/>
      <c r="M15" s="4"/>
    </row>
    <row r="16" spans="1:20">
      <c r="A16" s="10"/>
      <c r="B16" s="8"/>
      <c r="C16" s="43"/>
      <c r="D16" s="16"/>
      <c r="E16" s="16"/>
      <c r="F16" s="16"/>
      <c r="G16" s="20"/>
      <c r="H16" s="41"/>
    </row>
    <row r="17" spans="1:9">
      <c r="A17" s="10"/>
      <c r="B17" s="8"/>
      <c r="C17" s="43"/>
      <c r="D17" s="16"/>
      <c r="E17" s="16"/>
      <c r="F17" s="16"/>
      <c r="G17" s="20"/>
      <c r="H17" s="41"/>
    </row>
    <row r="18" spans="1:9">
      <c r="A18" s="10"/>
      <c r="B18" s="8"/>
      <c r="C18" s="43"/>
      <c r="D18" s="16"/>
      <c r="E18" s="16"/>
      <c r="F18" s="16"/>
      <c r="G18" s="20"/>
      <c r="H18" s="41"/>
      <c r="I18" s="12"/>
    </row>
    <row r="19" spans="1:9">
      <c r="A19" s="10"/>
      <c r="B19" s="8"/>
      <c r="C19" s="43"/>
      <c r="D19" s="16"/>
      <c r="E19" s="16"/>
      <c r="F19" s="16"/>
      <c r="G19" s="20"/>
      <c r="H19" s="41"/>
    </row>
    <row r="20" spans="1:9">
      <c r="A20" s="10"/>
      <c r="B20" s="8"/>
      <c r="C20" s="43"/>
      <c r="D20" s="16"/>
      <c r="E20" s="16"/>
      <c r="F20" s="16"/>
      <c r="G20" s="20"/>
      <c r="H20" s="41"/>
    </row>
    <row r="21" spans="1:9">
      <c r="A21" s="10"/>
      <c r="B21" s="8"/>
      <c r="C21" s="43"/>
      <c r="D21" s="16"/>
      <c r="E21" s="16"/>
      <c r="F21" s="16"/>
      <c r="G21" s="20"/>
      <c r="H21" s="41"/>
    </row>
    <row r="22" spans="1:9">
      <c r="A22" s="10"/>
      <c r="B22" s="8"/>
      <c r="C22" s="43"/>
      <c r="D22" s="16"/>
      <c r="E22" s="16"/>
      <c r="F22" s="16"/>
      <c r="G22" s="20"/>
      <c r="H22" s="41"/>
    </row>
    <row r="23" spans="1:9">
      <c r="A23" s="10"/>
      <c r="B23" s="8"/>
      <c r="C23" s="43"/>
      <c r="D23" s="16"/>
      <c r="E23" s="16"/>
      <c r="F23" s="16"/>
      <c r="G23" s="20"/>
      <c r="H23" s="41"/>
    </row>
    <row r="24" spans="1:9">
      <c r="A24" s="10"/>
      <c r="B24" s="8"/>
      <c r="C24" s="43"/>
      <c r="D24" s="16"/>
      <c r="E24" s="16"/>
      <c r="F24" s="16"/>
      <c r="G24" s="20"/>
      <c r="H24" s="41"/>
    </row>
    <row r="25" spans="1:9">
      <c r="A25" s="10"/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83" t="s">
        <v>22</v>
      </c>
      <c r="B36" s="84"/>
      <c r="C36" s="84"/>
      <c r="D36" s="16"/>
      <c r="E36" s="16"/>
      <c r="F36" s="16"/>
      <c r="G36" s="25" t="s">
        <v>6</v>
      </c>
      <c r="H36" s="44">
        <f>SUM(H11:H35)</f>
        <v>11635</v>
      </c>
      <c r="I36" s="11"/>
    </row>
    <row r="37" spans="1:9">
      <c r="A37" s="49" t="s">
        <v>23</v>
      </c>
      <c r="B37" s="50"/>
      <c r="C37" s="50"/>
      <c r="D37" s="16"/>
      <c r="E37" s="16"/>
      <c r="F37" s="16"/>
      <c r="G37" s="25" t="s">
        <v>8</v>
      </c>
      <c r="H37" s="44">
        <f>SUM(H36*9%)</f>
        <v>1047.1499999999999</v>
      </c>
      <c r="I37" s="11"/>
    </row>
    <row r="38" spans="1:9">
      <c r="A38" s="49" t="s">
        <v>24</v>
      </c>
      <c r="B38" s="50"/>
      <c r="C38" s="50"/>
      <c r="D38" s="16"/>
      <c r="E38" s="16"/>
      <c r="F38" s="16"/>
      <c r="G38" s="30" t="s">
        <v>9</v>
      </c>
      <c r="H38" s="44">
        <f>SUM(H36*9%)</f>
        <v>1047.1499999999999</v>
      </c>
      <c r="I38" s="11"/>
    </row>
    <row r="39" spans="1:9">
      <c r="A39" s="49" t="s">
        <v>25</v>
      </c>
      <c r="B39" s="50"/>
      <c r="C39" s="50"/>
      <c r="D39" s="16"/>
      <c r="E39" s="16"/>
      <c r="F39" s="16"/>
      <c r="G39" s="25" t="s">
        <v>5</v>
      </c>
      <c r="H39" s="44">
        <v>0.7</v>
      </c>
      <c r="I39" s="11"/>
    </row>
    <row r="40" spans="1:9">
      <c r="A40" s="85"/>
      <c r="B40" s="86"/>
      <c r="C40" s="86"/>
      <c r="D40" s="31"/>
      <c r="E40" s="31"/>
      <c r="F40" s="31"/>
      <c r="G40" s="26" t="s">
        <v>4</v>
      </c>
      <c r="H40" s="26">
        <f>SUM(H36:H39)</f>
        <v>13730</v>
      </c>
      <c r="I40" s="11"/>
    </row>
    <row r="41" spans="1:9" ht="18" customHeight="1">
      <c r="A41" s="87" t="str">
        <f>spellnumber(H40)</f>
        <v xml:space="preserve">Rupees Thirteen Thousand Seven Hundred Thirty Only </v>
      </c>
      <c r="B41" s="88"/>
      <c r="C41" s="80" t="s">
        <v>20</v>
      </c>
      <c r="D41" s="81"/>
      <c r="E41" s="81"/>
      <c r="F41" s="81"/>
      <c r="G41" s="81"/>
      <c r="H41" s="82"/>
      <c r="I41" s="11"/>
    </row>
    <row r="42" spans="1:9" ht="15" customHeight="1">
      <c r="A42" s="78" t="s">
        <v>26</v>
      </c>
      <c r="B42" s="79"/>
      <c r="C42" s="69"/>
      <c r="D42" s="70"/>
      <c r="E42" s="70"/>
      <c r="F42" s="70"/>
      <c r="G42" s="70"/>
      <c r="H42" s="71"/>
    </row>
    <row r="43" spans="1:9">
      <c r="A43" s="35">
        <v>1</v>
      </c>
      <c r="B43" s="17" t="s">
        <v>27</v>
      </c>
      <c r="C43" s="75"/>
      <c r="D43" s="76"/>
      <c r="E43" s="76"/>
      <c r="F43" s="76"/>
      <c r="G43" s="76"/>
      <c r="H43" s="77"/>
    </row>
    <row r="44" spans="1:9">
      <c r="A44" s="21">
        <v>2</v>
      </c>
      <c r="B44" s="18" t="s">
        <v>28</v>
      </c>
      <c r="C44" s="75"/>
      <c r="D44" s="76"/>
      <c r="E44" s="76"/>
      <c r="F44" s="76"/>
      <c r="G44" s="76"/>
      <c r="H44" s="77"/>
    </row>
    <row r="45" spans="1:9">
      <c r="A45" s="38">
        <v>3</v>
      </c>
      <c r="B45" s="32" t="s">
        <v>29</v>
      </c>
      <c r="C45" s="72" t="s">
        <v>21</v>
      </c>
      <c r="D45" s="73"/>
      <c r="E45" s="73"/>
      <c r="F45" s="73"/>
      <c r="G45" s="73"/>
      <c r="H45" s="74"/>
    </row>
    <row r="46" spans="1:9">
      <c r="C46" s="68"/>
      <c r="D46" s="68"/>
      <c r="E46" s="68"/>
      <c r="F46" s="68"/>
      <c r="G46" s="68"/>
      <c r="H46" s="68"/>
    </row>
  </sheetData>
  <mergeCells count="25"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  <mergeCell ref="N10:S10"/>
    <mergeCell ref="A4:H4"/>
    <mergeCell ref="K11:L11"/>
    <mergeCell ref="G9:H9"/>
    <mergeCell ref="A9:C9"/>
    <mergeCell ref="A5:H5"/>
    <mergeCell ref="B7:C7"/>
    <mergeCell ref="B8:C8"/>
    <mergeCell ref="B6:C6"/>
  </mergeCells>
  <pageMargins left="0.5" right="0.5" top="0.61" bottom="0.5" header="0.3" footer="0.3"/>
  <pageSetup orientation="portrait" blackAndWhite="1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2021-11-25T04:45:52Z</cp:lastPrinted>
  <dcterms:created xsi:type="dcterms:W3CDTF">2014-08-28T11:45:31Z</dcterms:created>
  <dcterms:modified xsi:type="dcterms:W3CDTF">2021-11-25T04:49:50Z</dcterms:modified>
</cp:coreProperties>
</file>