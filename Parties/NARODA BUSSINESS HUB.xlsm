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H11" i="1"/>
  <c r="A41"/>
  <c r="H36" l="1"/>
  <c r="H38" l="1"/>
  <c r="H37"/>
  <c r="H40" s="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<sst xmlns="http://schemas.openxmlformats.org/spreadsheetml/2006/main" count="39" uniqueCount="39">
  <si>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</si>
  <si>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</si>
  <si>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</si>
  <si>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</si>
  <si>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</si>
  <si>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</si>
  <si>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</si>
  <si>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</si>
  <si>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</si>
  <si>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</si>
  <si>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</si>
  <si>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</si>
  <si>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</si>
  <si>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</si>
  <si>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</si>
  <si>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</si>
  <si>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</si>
  <si>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</si>
  <si>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</si>
  <si>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</si>
  <si>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</si>
  <si>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</si>
  <si>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</si>
  <si>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</si>
  <si>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</si>
  <si>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</si>
  <si>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</si>
  <si>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</si>
  <si>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</si>
  <si>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</si>
  <si>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</si>
  <si>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</si>
  <si>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</si>
  <si>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NARODA.</t>
  </si>
  <si>
    <t>AHMEDABAD.</t>
  </si>
  <si>
    <t>Party GST :  24AAECK5600K1ZP</t>
  </si>
  <si>
    <t>NARODA BUSSINESS HUB UNIT OF KESHAVPRIYA CORP PVT. LTD.</t>
  </si>
  <si>
    <t>PARTH ROLLING SUTTERS AND FEBRICATION</t>
  </si>
  <si>
    <t>ROLLING SHUTTERS =2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</si>
</sst>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5"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37</v>
      </c>
      <c r="B1" s="49"/>
      <c r="C1" s="49"/>
      <c r="D1" s="49"/>
      <c r="E1" s="49"/>
      <c r="F1" s="49"/>
      <c r="G1" s="49"/>
      <c r="H1" s="46" t="s">
        <v>29</v>
      </c>
    </row>
    <row r="2" spans="1:20">
      <c r="A2" s="50" t="s">
        <v>10</v>
      </c>
      <c r="B2" s="51"/>
      <c r="C2" s="51"/>
      <c r="D2" s="51"/>
      <c r="E2" s="51"/>
      <c r="F2" s="51"/>
      <c r="G2" s="51"/>
      <c r="H2" s="47" t="s">
        <v>30</v>
      </c>
    </row>
    <row r="3" spans="1:20">
      <c r="A3" s="50" t="s">
        <v>11</v>
      </c>
      <c r="B3" s="51"/>
      <c r="C3" s="51"/>
      <c r="D3" s="51"/>
      <c r="E3" s="51"/>
      <c r="F3" s="51"/>
      <c r="G3" s="51"/>
      <c r="H3" s="47" t="s">
        <v>31</v>
      </c>
    </row>
    <row r="4" spans="1:20">
      <c r="A4" s="69" t="s">
        <v>32</v>
      </c>
      <c r="B4" s="70"/>
      <c r="C4" s="75"/>
      <c r="D4" s="75"/>
      <c r="E4" s="75"/>
      <c r="F4" s="75"/>
      <c r="G4" s="75"/>
      <c r="H4" s="76"/>
    </row>
    <row r="5" spans="1:20">
      <c r="A5" s="83" t="s">
        <v>12</v>
      </c>
      <c r="B5" s="84"/>
      <c r="C5" s="84"/>
      <c r="D5" s="84"/>
      <c r="E5" s="84"/>
      <c r="F5" s="84"/>
      <c r="G5" s="84"/>
      <c r="H5" s="85"/>
    </row>
    <row r="6" spans="1:20">
      <c r="A6" s="34" t="s">
        <v>13</v>
      </c>
      <c r="B6" s="88" t="s">
        <v>36</v>
      </c>
      <c r="C6" s="88"/>
      <c r="D6" s="13"/>
      <c r="E6" s="13"/>
      <c r="F6" s="14"/>
      <c r="G6" s="28" t="s">
        <v>14</v>
      </c>
      <c r="H6" s="33">
        <v>105</v>
      </c>
    </row>
    <row r="7" spans="1:20">
      <c r="A7" s="35" t="s">
        <v>17</v>
      </c>
      <c r="B7" s="86" t="s">
        <v>33</v>
      </c>
      <c r="C7" s="86"/>
      <c r="D7" s="36"/>
      <c r="E7" s="36"/>
      <c r="F7" s="15"/>
      <c r="G7" s="29" t="s">
        <v>15</v>
      </c>
      <c r="H7" s="37">
        <v>105</v>
      </c>
      <c r="I7" s="16"/>
    </row>
    <row r="8" spans="1:20">
      <c r="A8" s="38"/>
      <c r="B8" s="87" t="s">
        <v>34</v>
      </c>
      <c r="C8" s="87"/>
      <c r="D8" s="36"/>
      <c r="E8" s="36"/>
      <c r="F8" s="15"/>
      <c r="G8" s="27" t="s">
        <v>16</v>
      </c>
      <c r="H8" s="45">
        <v>44044</v>
      </c>
      <c r="I8" s="16"/>
      <c r="J8" s="4"/>
      <c r="L8" s="4"/>
    </row>
    <row r="9" spans="1:20" ht="15" customHeight="1">
      <c r="A9" s="81" t="s">
        <v>35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18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38</v>
      </c>
      <c r="C11" s="22">
        <v>142</v>
      </c>
      <c r="D11" s="16"/>
      <c r="E11" s="16"/>
      <c r="F11" s="9"/>
      <c r="G11" s="19">
        <v>110</v>
      </c>
      <c r="H11" s="41">
        <f>SUM(C11*G11)</f>
        <v>15620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41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21</v>
      </c>
      <c r="B36" s="68"/>
      <c r="C36" s="68"/>
      <c r="D36" s="16"/>
      <c r="E36" s="16"/>
      <c r="F36" s="16"/>
      <c r="G36" s="25" t="s">
        <v>6</v>
      </c>
      <c r="H36" s="44">
        <f>SUM(H11:H35)</f>
        <v>15620</v>
      </c>
      <c r="I36" s="11"/>
    </row>
    <row r="37" spans="1:9">
      <c r="A37" s="69" t="s">
        <v>22</v>
      </c>
      <c r="B37" s="70"/>
      <c r="C37" s="70"/>
      <c r="D37" s="16"/>
      <c r="E37" s="16"/>
      <c r="F37" s="16"/>
      <c r="G37" s="25" t="s">
        <v>8</v>
      </c>
      <c r="H37" s="44">
        <f>SUM(H36*9%)</f>
        <v>1405.8</v>
      </c>
      <c r="I37" s="11"/>
    </row>
    <row r="38" spans="1:9">
      <c r="A38" s="69" t="s">
        <v>23</v>
      </c>
      <c r="B38" s="70"/>
      <c r="C38" s="70"/>
      <c r="D38" s="16"/>
      <c r="E38" s="16"/>
      <c r="F38" s="16"/>
      <c r="G38" s="30" t="s">
        <v>9</v>
      </c>
      <c r="H38" s="44">
        <f>SUM(H36*9%)</f>
        <v>1405.8</v>
      </c>
      <c r="I38" s="11"/>
    </row>
    <row r="39" spans="1:9">
      <c r="A39" s="69" t="s">
        <v>24</v>
      </c>
      <c r="B39" s="70"/>
      <c r="C39" s="70"/>
      <c r="D39" s="16"/>
      <c r="E39" s="16"/>
      <c r="F39" s="16"/>
      <c r="G39" s="25" t="s">
        <v>5</v>
      </c>
      <c r="H39" s="44">
        <v>0.4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18432</v>
      </c>
      <c r="I40" s="11"/>
    </row>
    <row r="41" spans="1:9" ht="18" customHeight="1">
      <c r="A41" s="73" t="e">
        <f ca="1">spellnumber(H40)</f>
        <v>#NAME?</v>
      </c>
      <c r="B41" s="74"/>
      <c r="C41" s="64" t="s">
        <v>19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25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26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27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28</v>
      </c>
      <c r="C45" s="56" t="s">
        <v>20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2020-01-10T12:08:07Z</cp:lastPrinted>
  <dcterms:created xsi:type="dcterms:W3CDTF">2014-08-28T11:45:31Z</dcterms:created>
  <dcterms:modified xsi:type="dcterms:W3CDTF">2020-01-10T12:09:20Z</dcterms:modified>
</cp:coreProperties>
</file>